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白峰信用リスク評価株式会社\02.計画\"/>
    </mc:Choice>
  </mc:AlternateContent>
  <xr:revisionPtr revIDLastSave="0" documentId="13_ncr:1_{83925CD8-DBD5-455B-94DD-D825D8215FA9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WBS" sheetId="1" r:id="rId1"/>
    <sheet name="マイルストーン" sheetId="2" r:id="rId2"/>
    <sheet name="リソース計画" sheetId="3" r:id="rId3"/>
    <sheet name="リスク・ルール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</calcChain>
</file>

<file path=xl/sharedStrings.xml><?xml version="1.0" encoding="utf-8"?>
<sst xmlns="http://schemas.openxmlformats.org/spreadsheetml/2006/main" count="521" uniqueCount="341">
  <si>
    <t>タスクID</t>
  </si>
  <si>
    <t>フェーズ</t>
  </si>
  <si>
    <t>大項目</t>
  </si>
  <si>
    <t>タスク名</t>
  </si>
  <si>
    <t>詳細・補足</t>
  </si>
  <si>
    <t>担当者</t>
  </si>
  <si>
    <t>役割</t>
  </si>
  <si>
    <t>開始日</t>
  </si>
  <si>
    <t>終了日</t>
  </si>
  <si>
    <t>稼働日数</t>
  </si>
  <si>
    <t>依存タスク</t>
  </si>
  <si>
    <t>成果物</t>
  </si>
  <si>
    <t>ステータス</t>
  </si>
  <si>
    <t>進捗判定</t>
  </si>
  <si>
    <t>クリティカルパス</t>
  </si>
  <si>
    <t>備考</t>
  </si>
  <si>
    <t>T01</t>
  </si>
  <si>
    <t>フェーズ1</t>
  </si>
  <si>
    <t>キックオフ準備</t>
  </si>
  <si>
    <t>キックオフ準備・会議資料作成</t>
  </si>
  <si>
    <t>目的、KPI、class定義、id除外方針確認</t>
  </si>
  <si>
    <t>伊藤 翔太 / 松本 真央</t>
  </si>
  <si>
    <t>PM / BA</t>
  </si>
  <si>
    <t>なし</t>
  </si>
  <si>
    <t>キックオフ資料</t>
  </si>
  <si>
    <t>●</t>
  </si>
  <si>
    <t>T02</t>
  </si>
  <si>
    <t>キックオフ実施（M01）</t>
  </si>
  <si>
    <t>MS1: キックオフ完了</t>
  </si>
  <si>
    <t>伊藤 翔太 / 松原 陽介</t>
  </si>
  <si>
    <t>PM / 部長</t>
  </si>
  <si>
    <t>キックオフ議事録</t>
  </si>
  <si>
    <t>マイルストーンMS1</t>
  </si>
  <si>
    <t>T03</t>
  </si>
  <si>
    <t>契約・運営条件確認</t>
  </si>
  <si>
    <t>契約条件・単一正本運用確認</t>
  </si>
  <si>
    <t>契約範囲、運営ルール確認</t>
  </si>
  <si>
    <t>伊藤 翔太</t>
  </si>
  <si>
    <t>PM</t>
  </si>
  <si>
    <t>契約確認メモ、運営ルール</t>
  </si>
  <si>
    <t>T04</t>
  </si>
  <si>
    <t>データ受領・アクセス確認</t>
  </si>
  <si>
    <t>データ受領・アクセス権限確認</t>
  </si>
  <si>
    <t>受領データ前提の確定</t>
  </si>
  <si>
    <t>斎藤 悠斗</t>
  </si>
  <si>
    <t>DE</t>
  </si>
  <si>
    <t>受領確認記録、アクセス確認記録</t>
  </si>
  <si>
    <t>T05</t>
  </si>
  <si>
    <t>スケジュール確定</t>
  </si>
  <si>
    <t>詳細スケジュール・課題管理表確定</t>
  </si>
  <si>
    <t>T03,T04</t>
  </si>
  <si>
    <t>スケジュール版管理票、課題管理表</t>
  </si>
  <si>
    <t>T06</t>
  </si>
  <si>
    <t>支払管理</t>
  </si>
  <si>
    <t>着手金請求・支払確認</t>
  </si>
  <si>
    <t>MS2: 着手金支払期日 2025-05-20</t>
  </si>
  <si>
    <t>請求記録、支払確認記録</t>
  </si>
  <si>
    <t>T07</t>
  </si>
  <si>
    <t>フェーズ2</t>
  </si>
  <si>
    <t>データプロファイリング</t>
  </si>
  <si>
    <t>データプロファイリング実施</t>
  </si>
  <si>
    <t>欠損、外れ値、相関、不均衡の全体把握</t>
  </si>
  <si>
    <t>T04,T05</t>
  </si>
  <si>
    <t>データ確認結果サマリ初版</t>
  </si>
  <si>
    <t>T08</t>
  </si>
  <si>
    <t>欠損分析</t>
  </si>
  <si>
    <t>欠損分析・高欠損列方針整理</t>
  </si>
  <si>
    <t>Attr37を含む高欠損列の比較方針整理</t>
  </si>
  <si>
    <t>山本 彩乃 / 斎藤 悠斗</t>
  </si>
  <si>
    <t>DS / DE</t>
  </si>
  <si>
    <t>欠損分析メモ、列採否比較案</t>
  </si>
  <si>
    <t>T09</t>
  </si>
  <si>
    <t>外れ値・分布分析</t>
  </si>
  <si>
    <t>外れ値・分布・相関分析</t>
  </si>
  <si>
    <t>多重共線性確認含む</t>
  </si>
  <si>
    <t>山本 彩乃</t>
  </si>
  <si>
    <t>DS</t>
  </si>
  <si>
    <t>分布分析資料、相関分析結果</t>
  </si>
  <si>
    <t>T10</t>
  </si>
  <si>
    <t>前処理方針レビュー</t>
  </si>
  <si>
    <t>分析方針レビュー資料作成</t>
  </si>
  <si>
    <t>山本 彩乃 / 松本 真央</t>
  </si>
  <si>
    <t>DS / BA</t>
  </si>
  <si>
    <t>T08,T09</t>
  </si>
  <si>
    <t>分析方針レビュー資料</t>
  </si>
  <si>
    <t>T11</t>
  </si>
  <si>
    <t>分析方針レビュー実施（M02）</t>
  </si>
  <si>
    <t>MS3: 欠損・外れ値・不均衡対応、評価条件確定</t>
  </si>
  <si>
    <t>山本 彩乃 / 伊藤 翔太</t>
  </si>
  <si>
    <t>DS / PM</t>
  </si>
  <si>
    <t>レビュー議事録、決定事項一覧</t>
  </si>
  <si>
    <t>マイルストーンMS3</t>
  </si>
  <si>
    <t>T12</t>
  </si>
  <si>
    <t>前処理仕様・評価条件固定</t>
  </si>
  <si>
    <t>MS4: データ理解完了</t>
  </si>
  <si>
    <t>前処理仕様、評価指標定義</t>
  </si>
  <si>
    <t>マイルストーンMS4</t>
  </si>
  <si>
    <t>T13</t>
  </si>
  <si>
    <t>フェーズ3</t>
  </si>
  <si>
    <t>ベースラインモデル構築</t>
  </si>
  <si>
    <t>学習・評価条件に基づく初期結果算出</t>
  </si>
  <si>
    <t>ベースライン結果表</t>
  </si>
  <si>
    <t>T14</t>
  </si>
  <si>
    <t>不均衡対応比較</t>
  </si>
  <si>
    <t>不均衡対応比較・しきい値検討</t>
  </si>
  <si>
    <t>比較結果表、しきい値比較表</t>
  </si>
  <si>
    <t>T15</t>
  </si>
  <si>
    <t>中間報告書作成</t>
  </si>
  <si>
    <t>中間報告書ドラフト作成</t>
  </si>
  <si>
    <t>松本 真央 / 山本 彩乃</t>
  </si>
  <si>
    <t>BA / DS</t>
  </si>
  <si>
    <t>中間報告書ドラフト</t>
  </si>
  <si>
    <t>T16</t>
  </si>
  <si>
    <t>中間レビュー</t>
  </si>
  <si>
    <t>中間レビュー実施（M03）</t>
  </si>
  <si>
    <t>MS5: 候補モデル比較軸、しきい値、セグメント方針合意</t>
  </si>
  <si>
    <t>伊藤 翔太 / 山本 彩乃</t>
  </si>
  <si>
    <t>PM / DS</t>
  </si>
  <si>
    <t>中間レビュー議事録</t>
  </si>
  <si>
    <t>マイルストーンMS5</t>
  </si>
  <si>
    <t>T17</t>
  </si>
  <si>
    <t>変更管理</t>
  </si>
  <si>
    <t>変更管理チェックポイント</t>
  </si>
  <si>
    <t>MS6: 契約範囲逸脱有無、追加対応要否確認</t>
  </si>
  <si>
    <t>変更管理判定記録</t>
  </si>
  <si>
    <t>マイルストーンMS6 / リスクバッファB1</t>
  </si>
  <si>
    <t>T18</t>
  </si>
  <si>
    <t>フェーズ4</t>
  </si>
  <si>
    <t>複数モデル比較</t>
  </si>
  <si>
    <t>モデル高度化実験</t>
  </si>
  <si>
    <t>T16,T17</t>
  </si>
  <si>
    <t>候補モデル評価結果</t>
  </si>
  <si>
    <t>T19</t>
  </si>
  <si>
    <t>特徴量重要度・セグメント</t>
  </si>
  <si>
    <t>リスクセグメント・重要変数整理</t>
  </si>
  <si>
    <t>セグメント分析資料、重要変数整理表</t>
  </si>
  <si>
    <t>T20</t>
  </si>
  <si>
    <t>監査・説明資料作成</t>
  </si>
  <si>
    <t>監査・説明可能性資料作成</t>
  </si>
  <si>
    <t>説明可能性、監査証跡、アクセス制御に関する文書化</t>
  </si>
  <si>
    <t>T18,T19</t>
  </si>
  <si>
    <t>監査向け説明資料</t>
  </si>
  <si>
    <t>T21</t>
  </si>
  <si>
    <t>QAレビュー</t>
  </si>
  <si>
    <t>QAレビュー・是正反映</t>
  </si>
  <si>
    <t>MS7: モデル比較・説明資料完成</t>
  </si>
  <si>
    <t>池田 恒一</t>
  </si>
  <si>
    <t>QA</t>
  </si>
  <si>
    <t>T19,T20</t>
  </si>
  <si>
    <t>QAレビュー記録、修正版成果物</t>
  </si>
  <si>
    <t>マイルストーンMS7</t>
  </si>
  <si>
    <t>T22</t>
  </si>
  <si>
    <t>フェーズ5</t>
  </si>
  <si>
    <t>最終報告書作成</t>
  </si>
  <si>
    <t>最終報告書ドラフト</t>
  </si>
  <si>
    <t>T23</t>
  </si>
  <si>
    <t>最終レビュー準備</t>
  </si>
  <si>
    <t>最終レビュー資料作成</t>
  </si>
  <si>
    <t>最終レビュー資料</t>
  </si>
  <si>
    <t>T24</t>
  </si>
  <si>
    <t>最終レビュー</t>
  </si>
  <si>
    <t>最終レビュー実施（M04）</t>
  </si>
  <si>
    <t>MS8: 最終モデル候補、採用理由、検収観点確認</t>
  </si>
  <si>
    <t>中村 誠 / 伊藤 翔太</t>
  </si>
  <si>
    <t>ES / PM</t>
  </si>
  <si>
    <t>最終レビュー議事録、承認事項一覧</t>
  </si>
  <si>
    <t>マイルストーンMS8</t>
  </si>
  <si>
    <t>T25</t>
  </si>
  <si>
    <t>検収反映</t>
  </si>
  <si>
    <t>最終成果物提出・検収反映</t>
  </si>
  <si>
    <t>最終報告書確定版、提出記録</t>
  </si>
  <si>
    <t>T26</t>
  </si>
  <si>
    <t>リスクバッファ</t>
  </si>
  <si>
    <t>リスクバッファ期間</t>
  </si>
  <si>
    <t>最終レビュー後の軽微修正、整合性補強</t>
  </si>
  <si>
    <t>是正対応、軽微修正反映</t>
  </si>
  <si>
    <t>リスクバッファB2</t>
  </si>
  <si>
    <t>T27</t>
  </si>
  <si>
    <t>検収金請求・支払確認</t>
  </si>
  <si>
    <t>MS9: 検収金支払期日 2025-07-22</t>
  </si>
  <si>
    <t>T28</t>
  </si>
  <si>
    <t>プロジェクトクローズ</t>
  </si>
  <si>
    <t>完了報告、成果物保管</t>
  </si>
  <si>
    <t>T25,T27</t>
  </si>
  <si>
    <t>完了報告、成果物保管記録</t>
  </si>
  <si>
    <t>契約完了日</t>
  </si>
  <si>
    <t>マイルストーン一覧</t>
  </si>
  <si>
    <t>MS ID</t>
  </si>
  <si>
    <t>マイルストーン名</t>
  </si>
  <si>
    <t>日付</t>
  </si>
  <si>
    <t>関連会議</t>
  </si>
  <si>
    <t>判定内容</t>
  </si>
  <si>
    <t>オーナー</t>
  </si>
  <si>
    <t>MS1</t>
  </si>
  <si>
    <t>キックオフ完了</t>
  </si>
  <si>
    <t>M01 キックオフ</t>
  </si>
  <si>
    <t>目的、KPI、class定義、id除外方針、会議運営合意</t>
  </si>
  <si>
    <t>MS2</t>
  </si>
  <si>
    <t>契約・着手事務完了</t>
  </si>
  <si>
    <t>着手金支払期日到来、実行開始条件充足</t>
  </si>
  <si>
    <t>MS3</t>
  </si>
  <si>
    <t>分析方針確定</t>
  </si>
  <si>
    <t>M02 分析方針レビュー</t>
  </si>
  <si>
    <t>欠損・外れ値・不均衡対応、評価条件、Attr37比較方針確定</t>
  </si>
  <si>
    <t>MS4</t>
  </si>
  <si>
    <t>データ理解完了</t>
  </si>
  <si>
    <t>データ確認結果サマリ、前処理論点一覧確定</t>
  </si>
  <si>
    <t>MS5</t>
  </si>
  <si>
    <t>中間レビュー完了</t>
  </si>
  <si>
    <t>M03 中間レビュー</t>
  </si>
  <si>
    <t>候補モデル比較軸、しきい値検討方針、セグメント方針合意</t>
  </si>
  <si>
    <t>MS6</t>
  </si>
  <si>
    <t>変更管理チェックポイント通過</t>
  </si>
  <si>
    <t>変更管理確認</t>
  </si>
  <si>
    <t>契約範囲逸脱有無、追加対応要否、別紙見積要否確認</t>
  </si>
  <si>
    <t>MS7</t>
  </si>
  <si>
    <t>モデル比較・説明資料完成</t>
  </si>
  <si>
    <t>比較表、特徴量説明、監査観点資料完成</t>
  </si>
  <si>
    <t>MS8</t>
  </si>
  <si>
    <t>最終レビュー完了</t>
  </si>
  <si>
    <t>M04 最終レビュー</t>
  </si>
  <si>
    <t>最終モデル候補、採用理由、検収観点確認</t>
  </si>
  <si>
    <t>MS9</t>
  </si>
  <si>
    <t>検収金支払期日・契約完了</t>
  </si>
  <si>
    <t>最終成果物納入完了、検収金支払期日到来</t>
  </si>
  <si>
    <t>支払関連マイルストーン</t>
  </si>
  <si>
    <t>支払回</t>
  </si>
  <si>
    <t>マイルストーン</t>
  </si>
  <si>
    <t>比率</t>
  </si>
  <si>
    <t>金額（税込）</t>
  </si>
  <si>
    <t>支払条件</t>
  </si>
  <si>
    <t>支払期日</t>
  </si>
  <si>
    <t>着手金</t>
  </si>
  <si>
    <t>¥2,992,000</t>
  </si>
  <si>
    <t>契約締結後5営業日以内</t>
  </si>
  <si>
    <t>検収金</t>
  </si>
  <si>
    <t>¥4,488,000</t>
  </si>
  <si>
    <t>最終成果物の検収完了後5営業日以内</t>
  </si>
  <si>
    <t>役割別主担当</t>
  </si>
  <si>
    <t>略称</t>
  </si>
  <si>
    <t>氏名</t>
  </si>
  <si>
    <t>主担当工程</t>
  </si>
  <si>
    <t>エグゼクティブスポンサー</t>
  </si>
  <si>
    <t>ES</t>
  </si>
  <si>
    <t>中村 誠</t>
  </si>
  <si>
    <t>最終レビュー、重要判断支援</t>
  </si>
  <si>
    <t>プロジェクトマネージャー</t>
  </si>
  <si>
    <t>全体進捗、会議運営、変更管理、支払確認、検収統制</t>
  </si>
  <si>
    <t>リードデータサイエンティスト</t>
  </si>
  <si>
    <t>分析設計、モデル構築、比較評価、説明性整理</t>
  </si>
  <si>
    <t>データエンジニア</t>
  </si>
  <si>
    <t>データ受領、環境整備、前処理実装、再現性確保</t>
  </si>
  <si>
    <t>ビジネスアナリスト</t>
  </si>
  <si>
    <t>BA</t>
  </si>
  <si>
    <t>松本 真央</t>
  </si>
  <si>
    <t>業務観点整理、報告書作成、監査説明資料支援</t>
  </si>
  <si>
    <t>QAレビューア</t>
  </si>
  <si>
    <t>成果物レビュー、整合性・品質確認</t>
  </si>
  <si>
    <t>フェーズ別負荷イメージ</t>
  </si>
  <si>
    <t>期間</t>
  </si>
  <si>
    <t>主担当</t>
  </si>
  <si>
    <t>副担当</t>
  </si>
  <si>
    <t>配分方針</t>
  </si>
  <si>
    <t>フェーズ1 立ち上げ・要件確認</t>
  </si>
  <si>
    <t>05/13 ～ 05/16</t>
  </si>
  <si>
    <t>松本 真央、斎藤 悠斗</t>
  </si>
  <si>
    <t>運営設計と受領確認を優先</t>
  </si>
  <si>
    <t>フェーズ2 データ理解・品質確認</t>
  </si>
  <si>
    <t>05/19 ～ 05/30</t>
  </si>
  <si>
    <t>斎藤 悠斗、山本 彩乃</t>
  </si>
  <si>
    <t>データ理解と分析方針確定に集中</t>
  </si>
  <si>
    <t>フェーズ3 ベースライン分析</t>
  </si>
  <si>
    <t>06/02 ～ 06/20</t>
  </si>
  <si>
    <t>松本 真央、伊藤 翔太</t>
  </si>
  <si>
    <t>ベースライン分析と中間報告を優先</t>
  </si>
  <si>
    <t>フェーズ4 モデル高度化・説明性整理</t>
  </si>
  <si>
    <t>06/23 ～ 07/04</t>
  </si>
  <si>
    <t>斎藤 悠斗、松本 真央、池田 恒一</t>
  </si>
  <si>
    <t>モデル比較、説明性、QAを同時進行</t>
  </si>
  <si>
    <t>フェーズ5 最終整理・報告</t>
  </si>
  <si>
    <t>07/07 ～ 07/22</t>
  </si>
  <si>
    <t>伊藤 翔太、松本 真央</t>
  </si>
  <si>
    <t>山本 彩乃、中村 誠</t>
  </si>
  <si>
    <t>最終報告、レビュー、検収・支払を優先</t>
  </si>
  <si>
    <t>リスクバッファ配置</t>
  </si>
  <si>
    <t>バッファID</t>
  </si>
  <si>
    <t>用途</t>
  </si>
  <si>
    <t>使用条件</t>
  </si>
  <si>
    <t>B1</t>
  </si>
  <si>
    <t>中間レビュー後の方針差分吸収、変更管理判定</t>
  </si>
  <si>
    <t>レビュー指摘による分析観点修正時</t>
  </si>
  <si>
    <t>B2</t>
  </si>
  <si>
    <t>2025-07-16 ～ 2025-07-18</t>
  </si>
  <si>
    <t>最終レビュー後の軽微修正、整合性補強、提出前是正</t>
  </si>
  <si>
    <t>最終レビュー指摘、QA指摘対応時</t>
  </si>
  <si>
    <t>週次進捗管理ルール</t>
  </si>
  <si>
    <t>会議種別</t>
  </si>
  <si>
    <t>主要アジェンダ</t>
  </si>
  <si>
    <t>キックオフ（M01）</t>
  </si>
  <si>
    <t>目的、KPI、対象範囲、会議運営確定</t>
  </si>
  <si>
    <t>週次進捗確認</t>
  </si>
  <si>
    <t>着手金支払確認、フェーズ1完了確認</t>
  </si>
  <si>
    <t>分析方針レビュー（M02）</t>
  </si>
  <si>
    <t>前処理・評価条件・比較方針確定</t>
  </si>
  <si>
    <t>ベースライン構築進捗確認</t>
  </si>
  <si>
    <t>不均衡対応・しきい値検討進捗</t>
  </si>
  <si>
    <t>中間レビュー（M03）</t>
  </si>
  <si>
    <t>候補モデル比較、セグメント方針合意</t>
  </si>
  <si>
    <t>モデル高度化進捗確認</t>
  </si>
  <si>
    <t>特徴量重要度・監査資料進捗</t>
  </si>
  <si>
    <t>最終報告書作成進捗</t>
  </si>
  <si>
    <t>最終レビュー（M04）</t>
  </si>
  <si>
    <t>進捗判定基準・エスカレーションルール</t>
  </si>
  <si>
    <t>判定</t>
  </si>
  <si>
    <t>条件</t>
  </si>
  <si>
    <t>対応</t>
  </si>
  <si>
    <t>グリーン</t>
  </si>
  <si>
    <t>計画差異1営業日以内、成果物品質問題なし</t>
  </si>
  <si>
    <t>通常運営</t>
  </si>
  <si>
    <t>イエロー</t>
  </si>
  <si>
    <t>計画差異2～3営業日、レビュー前に是正可能</t>
  </si>
  <si>
    <t>2週連続でPM伊藤が是正策を会議提示</t>
  </si>
  <si>
    <t>レッド</t>
  </si>
  <si>
    <t>計画差異4営業日以上、またはレビュー日程影響見込み</t>
  </si>
  <si>
    <t>当日中に松原恒一部長・中村誠へ共有</t>
  </si>
  <si>
    <t>再計画ポリシー</t>
  </si>
  <si>
    <t>変更類型</t>
  </si>
  <si>
    <t>定義</t>
  </si>
  <si>
    <t>必要手続</t>
  </si>
  <si>
    <t>工程内調整</t>
  </si>
  <si>
    <t>契約範囲内、納期不変</t>
  </si>
  <si>
    <t>PM判断で実施</t>
  </si>
  <si>
    <t>影響軽微変更</t>
  </si>
  <si>
    <t>契約範囲内、他タスク順序変更あり</t>
  </si>
  <si>
    <t>会議翌営業日中に改訂スケジュール発行</t>
  </si>
  <si>
    <t>正式変更要求</t>
  </si>
  <si>
    <t>契約範囲外、別紙見積と事前合意が必要</t>
  </si>
  <si>
    <t>変更管理チェックポイントで付議、別紙見積</t>
  </si>
  <si>
    <t>完了</t>
    <phoneticPr fontId="10"/>
  </si>
  <si>
    <t>マイルストーンMS2 / 着手金40% ¥2,992,000
6/18入金確認</t>
    <rPh sb="35" eb="39">
      <t>ニュウキンカクニン</t>
    </rPh>
    <phoneticPr fontId="10"/>
  </si>
  <si>
    <t>マイルストーンMS9 / 検収金60% ¥4,488,000
期日通り入金確認</t>
    <rPh sb="31" eb="34">
      <t>キジツドオ</t>
    </rPh>
    <rPh sb="35" eb="39">
      <t>ニュウキンカクニン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</si>
</sst>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&quot;日&quot;"/>
  </numFmts>
  <fonts count="11" x14ac:knownFonts="1">
    <font>
      <sz val="11"/>
      <color theme="1"/>
      <name val="游ゴシック"/>
      <family val="2"/>
      <scheme val="minor"/>
    </font>
    <font>
      <b/>
      <sz val="11"/>
      <color rgb="FFFFFFFF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sz val="10"/>
      <color rgb="FF8B2500"/>
      <name val="BIZ UDPゴシック"/>
      <family val="3"/>
      <charset val="128"/>
    </font>
    <font>
      <b/>
      <sz val="10"/>
      <color rgb="FF8B2500"/>
      <name val="BIZ UDPゴシック"/>
      <family val="3"/>
      <charset val="128"/>
    </font>
    <font>
      <b/>
      <sz val="14"/>
      <color rgb="FF8B2500"/>
      <name val="BIZ UDPゴシック"/>
      <family val="3"/>
      <charset val="128"/>
    </font>
    <font>
      <b/>
      <sz val="10"/>
      <color rgb="FF228B22"/>
      <name val="BIZ UDPゴシック"/>
      <family val="3"/>
      <charset val="128"/>
    </font>
    <font>
      <b/>
      <sz val="10"/>
      <color rgb="FFDAA520"/>
      <name val="BIZ UDPゴシック"/>
      <family val="3"/>
      <charset val="128"/>
    </font>
    <font>
      <b/>
      <sz val="10"/>
      <color rgb="FFCC0000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5F5F0"/>
        <bgColor indexed="64"/>
      </patternFill>
    </fill>
    <fill>
      <patternFill patternType="solid">
        <fgColor rgb="FFF2E0D0"/>
        <bgColor indexed="64"/>
      </patternFill>
    </fill>
    <fill>
      <patternFill patternType="solid">
        <fgColor rgb="FF8B3A2A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333333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333333"/>
      </bottom>
      <diagonal/>
    </border>
    <border>
      <left style="thin">
        <color rgb="FF333333"/>
      </left>
      <right style="thin">
        <color rgb="FF999999"/>
      </right>
      <top style="thin">
        <color rgb="FF333333"/>
      </top>
      <bottom style="thin">
        <color rgb="FF999999"/>
      </bottom>
      <diagonal/>
    </border>
    <border>
      <left style="thin">
        <color rgb="FF333333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33333"/>
      </left>
      <right style="thin">
        <color rgb="FF999999"/>
      </right>
      <top style="thin">
        <color rgb="FF999999"/>
      </top>
      <bottom style="thin">
        <color rgb="FF333333"/>
      </bottom>
      <diagonal/>
    </border>
    <border>
      <left style="thin">
        <color rgb="FF999999"/>
      </left>
      <right style="thin">
        <color rgb="FF333333"/>
      </right>
      <top style="thin">
        <color rgb="FF333333"/>
      </top>
      <bottom style="thin">
        <color rgb="FF999999"/>
      </bottom>
      <diagonal/>
    </border>
    <border>
      <left style="thin">
        <color rgb="FF999999"/>
      </left>
      <right style="thin">
        <color rgb="FF333333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333333"/>
      </right>
      <top style="thin">
        <color rgb="FF999999"/>
      </top>
      <bottom style="thin">
        <color rgb="FF333333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177" fontId="3" fillId="6" borderId="5" xfId="0" applyNumberFormat="1" applyFont="1" applyFill="1" applyBorder="1" applyAlignment="1">
      <alignment horizontal="center" vertical="center"/>
    </xf>
    <xf numFmtId="177" fontId="2" fillId="4" borderId="5" xfId="0" applyNumberFormat="1" applyFont="1" applyFill="1" applyBorder="1" applyAlignment="1">
      <alignment horizontal="center" vertical="center"/>
    </xf>
    <xf numFmtId="177" fontId="2" fillId="5" borderId="5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6" fontId="3" fillId="6" borderId="5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176" fontId="2" fillId="3" borderId="8" xfId="0" applyNumberFormat="1" applyFont="1" applyFill="1" applyBorder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6" fillId="0" borderId="0" xfId="0" applyFont="1"/>
    <xf numFmtId="176" fontId="2" fillId="0" borderId="5" xfId="0" applyNumberFormat="1" applyFont="1" applyBorder="1" applyAlignment="1">
      <alignment horizontal="center" vertical="center"/>
    </xf>
    <xf numFmtId="0" fontId="1" fillId="7" borderId="10" xfId="0" applyFont="1" applyFill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7" borderId="15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9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/>
    <xf numFmtId="0" fontId="1" fillId="2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1" fillId="2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1" fillId="2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5" xfId="0" applyNumberFormat="1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6" borderId="5" xfId="0" applyFont="1" applyFill="1" applyBorder="1"/>
    <xf numFmtId="0" fontId="3" fillId="6" borderId="11" xfId="0" applyFont="1" applyFill="1" applyBorder="1"/>
    <xf numFmtId="176" fontId="3" fillId="6" borderId="13" xfId="0" applyNumberFormat="1" applyFont="1" applyFill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3" fillId="6" borderId="14" xfId="0" applyNumberFormat="1" applyFont="1" applyFill="1" applyBorder="1" applyAlignment="1">
      <alignment horizontal="center"/>
    </xf>
    <xf numFmtId="0" fontId="3" fillId="6" borderId="16" xfId="0" applyFont="1" applyFill="1" applyBorder="1"/>
    <xf numFmtId="0" fontId="3" fillId="6" borderId="17" xfId="0" applyFont="1" applyFill="1" applyBorder="1"/>
    <xf numFmtId="0" fontId="7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2" fillId="3" borderId="6" xfId="0" applyFont="1" applyFill="1" applyBorder="1" applyAlignment="1">
      <alignment vertical="center" wrapText="1"/>
    </xf>
  </cellXfs>
  <cellStyles count="1">
    <cellStyle name="標準" xfId="0" builtinId="0"/>
  </cellStyles>
  <dxfs count="2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F6900"/>
      </font>
      <fill>
        <patternFill patternType="solid">
          <fgColor indexed="64"/>
          <bgColor rgb="FFFCE4CC"/>
        </patternFill>
      </fill>
    </dxf>
    <dxf>
      <font>
        <color rgb="FF666666"/>
      </font>
      <fill>
        <patternFill patternType="solid">
          <fgColor indexed="64"/>
          <bgColor rgb="FFE8E8E8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B2500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numFmt numFmtId="177" formatCode="0&quot;日&quot;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numFmt numFmtId="176" formatCode="yyyy\-mm\-dd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numFmt numFmtId="176" formatCode="yyyy\-mm\-dd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top style="thin">
          <color rgb="FF999999"/>
        </top>
      </border>
    </dxf>
    <dxf>
      <border outline="0">
        <left style="thin">
          <color rgb="FF333333"/>
        </left>
        <right style="thin">
          <color rgb="FF333333"/>
        </right>
        <top style="thin">
          <color rgb="FF333333"/>
        </top>
        <bottom style="thin">
          <color rgb="FF333333"/>
        </bottom>
      </border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IZ UDPゴシック"/>
        <family val="3"/>
        <charset val="128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FA685-6C19-4251-B508-C7B60ED657A8}" name="WBS_Table" displayName="WBS_Table" ref="A1:P29" totalsRowShown="0" headerRowDxfId="27" headerRowBorderDxfId="26" tableBorderDxfId="25" totalsRowBorderDxfId="24">
  <autoFilter ref="A1:P29" xr:uid="{882FA685-6C19-4251-B508-C7B60ED657A8}"/>
  <tableColumns count="16">
    <tableColumn id="1" xr3:uid="{E67EC057-DC04-4E66-8B22-9CC66B7DCD38}" name="タスクID" dataDxfId="23"/>
    <tableColumn id="2" xr3:uid="{084E85D8-0D46-4949-8851-0405B6B47D66}" name="フェーズ" dataDxfId="22"/>
    <tableColumn id="3" xr3:uid="{E3028EDD-7D41-4E61-A7A7-24CD1602B1AF}" name="大項目" dataDxfId="21"/>
    <tableColumn id="4" xr3:uid="{D9B0CD9F-04F2-418F-B8BD-DA7AD8DCA20E}" name="タスク名" dataDxfId="20"/>
    <tableColumn id="5" xr3:uid="{C4EDA88C-38D5-4354-90EB-90F6F2C3D979}" name="詳細・補足" dataDxfId="19"/>
    <tableColumn id="6" xr3:uid="{D0B42680-9C10-45B9-A5DA-34F1DB1E09EA}" name="担当者" dataDxfId="18"/>
    <tableColumn id="7" xr3:uid="{0475E46F-C4C9-45E9-B6A1-37E37E56AB56}" name="役割" dataDxfId="17"/>
    <tableColumn id="8" xr3:uid="{87001252-2CA9-46FF-AD46-146F497A131A}" name="開始日" dataDxfId="16"/>
    <tableColumn id="9" xr3:uid="{AFC342B1-C6DC-4808-80F5-B68E3CFB015C}" name="終了日" dataDxfId="15"/>
    <tableColumn id="10" xr3:uid="{7D56084B-88C7-48F3-9B79-5227830CD963}" name="稼働日数" dataDxfId="14">
      <calculatedColumnFormula>IF(AND(H2&lt;&gt;"",I2&lt;&gt;""),NETWORKDAYS(H2,I2),"")</calculatedColumnFormula>
    </tableColumn>
    <tableColumn id="11" xr3:uid="{655544DB-013D-47BB-9788-EDF50BE2CBF4}" name="依存タスク" dataDxfId="13"/>
    <tableColumn id="12" xr3:uid="{473E4A4B-CAD4-4C41-944E-668677C7E386}" name="成果物" dataDxfId="12"/>
    <tableColumn id="13" xr3:uid="{2023A83A-3D18-4900-8DF6-C69C6AC278C1}" name="ステータス" dataDxfId="11"/>
    <tableColumn id="14" xr3:uid="{CA4FFEC5-DC92-4376-A8DD-523E4793F2F6}" name="進捗判定" dataDxfId="10"/>
    <tableColumn id="15" xr3:uid="{8CF41A90-713E-46C9-9714-213D1FBF1E8F}" name="クリティカルパス" dataDxfId="9"/>
    <tableColumn id="16" xr3:uid="{C59AECBF-E6F4-4EEA-A195-476FDB480C39}" name="備考" dataDxfId="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D96B41-2CBC-4D6D-B161-B586BDC0A987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E1" workbookViewId="0">
      <pane ySplit="1" topLeftCell="A2" activePane="bottomLeft" state="frozen"/>
      <selection pane="bottomLeft" activeCell="P3" sqref="P3"/>
    </sheetView>
  </sheetViews>
  <sheetFormatPr defaultRowHeight="18" x14ac:dyDescent="0.55000000000000004"/>
  <cols>
    <col min="1" max="1" width="9.1640625" customWidth="1"/>
    <col min="2" max="2" width="15.83203125" customWidth="1"/>
    <col min="3" max="3" width="23.33203125" customWidth="1"/>
    <col min="4" max="4" width="33.33203125" customWidth="1"/>
    <col min="5" max="5" width="36.6640625" customWidth="1"/>
    <col min="6" max="6" width="25" customWidth="1"/>
    <col min="7" max="7" width="10.83203125" customWidth="1"/>
    <col min="8" max="9" width="14.1640625" customWidth="1"/>
    <col min="10" max="10" width="10" customWidth="1"/>
    <col min="11" max="11" width="12.5" customWidth="1"/>
    <col min="12" max="12" width="35" customWidth="1"/>
    <col min="13" max="13" width="11.6640625" customWidth="1"/>
    <col min="14" max="14" width="12.5" customWidth="1"/>
    <col min="15" max="15" width="15" customWidth="1"/>
    <col min="16" max="16" width="39.75" customWidth="1"/>
  </cols>
  <sheetData>
    <row r="1" spans="1:16" ht="30" customHeight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22" customHeight="1" x14ac:dyDescent="0.55000000000000004">
      <c r="A2" s="2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22">
        <v>45790</v>
      </c>
      <c r="I2" s="22">
        <v>45790</v>
      </c>
      <c r="J2" s="18">
        <f>IF(AND(H2&lt;&gt;"",I2&lt;&gt;""),NETWORKDAYS(H2,I2),"")</f>
        <v>1</v>
      </c>
      <c r="K2" s="6" t="s">
        <v>23</v>
      </c>
      <c r="L2" s="6" t="s">
        <v>24</v>
      </c>
      <c r="M2" s="10" t="s">
        <v>338</v>
      </c>
      <c r="N2" s="10"/>
      <c r="O2" s="14" t="s">
        <v>25</v>
      </c>
      <c r="P2" s="30"/>
    </row>
    <row r="3" spans="1:16" ht="22" customHeight="1" x14ac:dyDescent="0.55000000000000004">
      <c r="A3" s="27" t="s">
        <v>26</v>
      </c>
      <c r="B3" s="9" t="s">
        <v>17</v>
      </c>
      <c r="C3" s="9" t="s">
        <v>18</v>
      </c>
      <c r="D3" s="9" t="s">
        <v>27</v>
      </c>
      <c r="E3" s="9" t="s">
        <v>28</v>
      </c>
      <c r="F3" s="9" t="s">
        <v>29</v>
      </c>
      <c r="G3" s="9" t="s">
        <v>30</v>
      </c>
      <c r="H3" s="23">
        <v>45790</v>
      </c>
      <c r="I3" s="23">
        <v>45790</v>
      </c>
      <c r="J3" s="19">
        <f t="shared" ref="J3:J29" si="0">IF(AND(H3&lt;&gt;"",I3&lt;&gt;""),NETWORKDAYS(H3,I3),"")</f>
        <v>1</v>
      </c>
      <c r="K3" s="9" t="s">
        <v>16</v>
      </c>
      <c r="L3" s="9" t="s">
        <v>31</v>
      </c>
      <c r="M3" s="11" t="s">
        <v>338</v>
      </c>
      <c r="N3" s="11"/>
      <c r="O3" s="15" t="s">
        <v>25</v>
      </c>
      <c r="P3" s="31" t="s">
        <v>32</v>
      </c>
    </row>
    <row r="4" spans="1:16" ht="22" customHeight="1" x14ac:dyDescent="0.55000000000000004">
      <c r="A4" s="26" t="s">
        <v>33</v>
      </c>
      <c r="B4" s="6" t="s">
        <v>17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22">
        <v>45791</v>
      </c>
      <c r="I4" s="22">
        <v>45792</v>
      </c>
      <c r="J4" s="18">
        <f t="shared" si="0"/>
        <v>2</v>
      </c>
      <c r="K4" s="6" t="s">
        <v>26</v>
      </c>
      <c r="L4" s="6" t="s">
        <v>39</v>
      </c>
      <c r="M4" s="10" t="s">
        <v>338</v>
      </c>
      <c r="N4" s="10"/>
      <c r="O4" s="14"/>
      <c r="P4" s="30"/>
    </row>
    <row r="5" spans="1:16" ht="22" customHeight="1" x14ac:dyDescent="0.55000000000000004">
      <c r="A5" s="26" t="s">
        <v>40</v>
      </c>
      <c r="B5" s="6" t="s">
        <v>17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22">
        <v>45791</v>
      </c>
      <c r="I5" s="22">
        <v>45793</v>
      </c>
      <c r="J5" s="18">
        <f t="shared" si="0"/>
        <v>3</v>
      </c>
      <c r="K5" s="6" t="s">
        <v>26</v>
      </c>
      <c r="L5" s="6" t="s">
        <v>46</v>
      </c>
      <c r="M5" s="10" t="s">
        <v>338</v>
      </c>
      <c r="N5" s="10"/>
      <c r="O5" s="14" t="s">
        <v>25</v>
      </c>
      <c r="P5" s="30"/>
    </row>
    <row r="6" spans="1:16" ht="22" customHeight="1" x14ac:dyDescent="0.55000000000000004">
      <c r="A6" s="26" t="s">
        <v>47</v>
      </c>
      <c r="B6" s="6" t="s">
        <v>17</v>
      </c>
      <c r="C6" s="6" t="s">
        <v>48</v>
      </c>
      <c r="D6" s="6" t="s">
        <v>49</v>
      </c>
      <c r="E6" s="6"/>
      <c r="F6" s="6" t="s">
        <v>37</v>
      </c>
      <c r="G6" s="6" t="s">
        <v>38</v>
      </c>
      <c r="H6" s="22">
        <v>45792</v>
      </c>
      <c r="I6" s="22">
        <v>45793</v>
      </c>
      <c r="J6" s="18">
        <f t="shared" si="0"/>
        <v>2</v>
      </c>
      <c r="K6" s="6" t="s">
        <v>50</v>
      </c>
      <c r="L6" s="6" t="s">
        <v>51</v>
      </c>
      <c r="M6" s="10" t="s">
        <v>338</v>
      </c>
      <c r="N6" s="10"/>
      <c r="O6" s="14"/>
      <c r="P6" s="30"/>
    </row>
    <row r="7" spans="1:16" ht="22" customHeight="1" x14ac:dyDescent="0.55000000000000004">
      <c r="A7" s="26" t="s">
        <v>52</v>
      </c>
      <c r="B7" s="6" t="s">
        <v>17</v>
      </c>
      <c r="C7" s="6" t="s">
        <v>53</v>
      </c>
      <c r="D7" s="6" t="s">
        <v>54</v>
      </c>
      <c r="E7" s="6" t="s">
        <v>55</v>
      </c>
      <c r="F7" s="6" t="s">
        <v>37</v>
      </c>
      <c r="G7" s="6" t="s">
        <v>38</v>
      </c>
      <c r="H7" s="22">
        <v>45790</v>
      </c>
      <c r="I7" s="22">
        <v>45797</v>
      </c>
      <c r="J7" s="18">
        <f t="shared" si="0"/>
        <v>6</v>
      </c>
      <c r="K7" s="6" t="s">
        <v>33</v>
      </c>
      <c r="L7" s="6" t="s">
        <v>56</v>
      </c>
      <c r="M7" s="10" t="s">
        <v>338</v>
      </c>
      <c r="N7" s="10"/>
      <c r="O7" s="14"/>
      <c r="P7" s="86" t="s">
        <v>339</v>
      </c>
    </row>
    <row r="8" spans="1:16" ht="22" customHeight="1" x14ac:dyDescent="0.55000000000000004">
      <c r="A8" s="28" t="s">
        <v>57</v>
      </c>
      <c r="B8" s="7" t="s">
        <v>58</v>
      </c>
      <c r="C8" s="7" t="s">
        <v>59</v>
      </c>
      <c r="D8" s="7" t="s">
        <v>60</v>
      </c>
      <c r="E8" s="7" t="s">
        <v>61</v>
      </c>
      <c r="F8" s="7" t="s">
        <v>44</v>
      </c>
      <c r="G8" s="7" t="s">
        <v>45</v>
      </c>
      <c r="H8" s="24">
        <v>45796</v>
      </c>
      <c r="I8" s="24">
        <v>45798</v>
      </c>
      <c r="J8" s="20">
        <f t="shared" si="0"/>
        <v>3</v>
      </c>
      <c r="K8" s="7" t="s">
        <v>62</v>
      </c>
      <c r="L8" s="7" t="s">
        <v>63</v>
      </c>
      <c r="M8" s="12" t="s">
        <v>338</v>
      </c>
      <c r="N8" s="12"/>
      <c r="O8" s="16" t="s">
        <v>25</v>
      </c>
      <c r="P8" s="32"/>
    </row>
    <row r="9" spans="1:16" ht="22" customHeight="1" x14ac:dyDescent="0.55000000000000004">
      <c r="A9" s="28" t="s">
        <v>64</v>
      </c>
      <c r="B9" s="7" t="s">
        <v>58</v>
      </c>
      <c r="C9" s="7" t="s">
        <v>65</v>
      </c>
      <c r="D9" s="7" t="s">
        <v>66</v>
      </c>
      <c r="E9" s="7" t="s">
        <v>67</v>
      </c>
      <c r="F9" s="7" t="s">
        <v>68</v>
      </c>
      <c r="G9" s="7" t="s">
        <v>69</v>
      </c>
      <c r="H9" s="24">
        <v>45798</v>
      </c>
      <c r="I9" s="24">
        <v>45800</v>
      </c>
      <c r="J9" s="20">
        <f t="shared" si="0"/>
        <v>3</v>
      </c>
      <c r="K9" s="7" t="s">
        <v>57</v>
      </c>
      <c r="L9" s="7" t="s">
        <v>70</v>
      </c>
      <c r="M9" s="12" t="s">
        <v>338</v>
      </c>
      <c r="N9" s="12"/>
      <c r="O9" s="16" t="s">
        <v>25</v>
      </c>
      <c r="P9" s="32"/>
    </row>
    <row r="10" spans="1:16" ht="22" customHeight="1" x14ac:dyDescent="0.55000000000000004">
      <c r="A10" s="28" t="s">
        <v>71</v>
      </c>
      <c r="B10" s="7" t="s">
        <v>58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76</v>
      </c>
      <c r="H10" s="24">
        <v>45798</v>
      </c>
      <c r="I10" s="24">
        <v>45803</v>
      </c>
      <c r="J10" s="20">
        <f t="shared" si="0"/>
        <v>4</v>
      </c>
      <c r="K10" s="7" t="s">
        <v>57</v>
      </c>
      <c r="L10" s="7" t="s">
        <v>77</v>
      </c>
      <c r="M10" s="12" t="s">
        <v>338</v>
      </c>
      <c r="N10" s="12"/>
      <c r="O10" s="16" t="s">
        <v>25</v>
      </c>
      <c r="P10" s="32"/>
    </row>
    <row r="11" spans="1:16" ht="22" customHeight="1" x14ac:dyDescent="0.55000000000000004">
      <c r="A11" s="28" t="s">
        <v>78</v>
      </c>
      <c r="B11" s="7" t="s">
        <v>58</v>
      </c>
      <c r="C11" s="7" t="s">
        <v>79</v>
      </c>
      <c r="D11" s="7" t="s">
        <v>80</v>
      </c>
      <c r="E11" s="7"/>
      <c r="F11" s="7" t="s">
        <v>81</v>
      </c>
      <c r="G11" s="7" t="s">
        <v>82</v>
      </c>
      <c r="H11" s="24">
        <v>45803</v>
      </c>
      <c r="I11" s="24">
        <v>45803</v>
      </c>
      <c r="J11" s="20">
        <f t="shared" si="0"/>
        <v>1</v>
      </c>
      <c r="K11" s="7" t="s">
        <v>83</v>
      </c>
      <c r="L11" s="7" t="s">
        <v>84</v>
      </c>
      <c r="M11" s="12" t="s">
        <v>338</v>
      </c>
      <c r="N11" s="12"/>
      <c r="O11" s="16" t="s">
        <v>25</v>
      </c>
      <c r="P11" s="32"/>
    </row>
    <row r="12" spans="1:16" ht="22" customHeight="1" x14ac:dyDescent="0.55000000000000004">
      <c r="A12" s="27" t="s">
        <v>85</v>
      </c>
      <c r="B12" s="9" t="s">
        <v>58</v>
      </c>
      <c r="C12" s="9" t="s">
        <v>79</v>
      </c>
      <c r="D12" s="9" t="s">
        <v>86</v>
      </c>
      <c r="E12" s="9" t="s">
        <v>87</v>
      </c>
      <c r="F12" s="9" t="s">
        <v>88</v>
      </c>
      <c r="G12" s="9" t="s">
        <v>89</v>
      </c>
      <c r="H12" s="23">
        <v>45804</v>
      </c>
      <c r="I12" s="23">
        <v>45804</v>
      </c>
      <c r="J12" s="19">
        <f t="shared" si="0"/>
        <v>1</v>
      </c>
      <c r="K12" s="9" t="s">
        <v>78</v>
      </c>
      <c r="L12" s="9" t="s">
        <v>90</v>
      </c>
      <c r="M12" s="11" t="s">
        <v>338</v>
      </c>
      <c r="N12" s="11"/>
      <c r="O12" s="15" t="s">
        <v>25</v>
      </c>
      <c r="P12" s="31" t="s">
        <v>91</v>
      </c>
    </row>
    <row r="13" spans="1:16" ht="22" customHeight="1" x14ac:dyDescent="0.55000000000000004">
      <c r="A13" s="28" t="s">
        <v>92</v>
      </c>
      <c r="B13" s="7" t="s">
        <v>58</v>
      </c>
      <c r="C13" s="7" t="s">
        <v>79</v>
      </c>
      <c r="D13" s="7" t="s">
        <v>93</v>
      </c>
      <c r="E13" s="7" t="s">
        <v>94</v>
      </c>
      <c r="F13" s="7" t="s">
        <v>68</v>
      </c>
      <c r="G13" s="7" t="s">
        <v>69</v>
      </c>
      <c r="H13" s="24">
        <v>45805</v>
      </c>
      <c r="I13" s="24">
        <v>45807</v>
      </c>
      <c r="J13" s="20">
        <f t="shared" si="0"/>
        <v>3</v>
      </c>
      <c r="K13" s="7" t="s">
        <v>85</v>
      </c>
      <c r="L13" s="7" t="s">
        <v>95</v>
      </c>
      <c r="M13" s="12" t="s">
        <v>338</v>
      </c>
      <c r="N13" s="12"/>
      <c r="O13" s="16" t="s">
        <v>25</v>
      </c>
      <c r="P13" s="32" t="s">
        <v>96</v>
      </c>
    </row>
    <row r="14" spans="1:16" ht="22" customHeight="1" x14ac:dyDescent="0.55000000000000004">
      <c r="A14" s="29" t="s">
        <v>97</v>
      </c>
      <c r="B14" s="8" t="s">
        <v>98</v>
      </c>
      <c r="C14" s="8" t="s">
        <v>99</v>
      </c>
      <c r="D14" s="8" t="s">
        <v>99</v>
      </c>
      <c r="E14" s="8" t="s">
        <v>100</v>
      </c>
      <c r="F14" s="8" t="s">
        <v>75</v>
      </c>
      <c r="G14" s="8" t="s">
        <v>76</v>
      </c>
      <c r="H14" s="25">
        <v>45810</v>
      </c>
      <c r="I14" s="25">
        <v>45814</v>
      </c>
      <c r="J14" s="21">
        <f t="shared" si="0"/>
        <v>5</v>
      </c>
      <c r="K14" s="8" t="s">
        <v>92</v>
      </c>
      <c r="L14" s="8" t="s">
        <v>101</v>
      </c>
      <c r="M14" s="13" t="s">
        <v>338</v>
      </c>
      <c r="N14" s="13"/>
      <c r="O14" s="17" t="s">
        <v>25</v>
      </c>
      <c r="P14" s="33"/>
    </row>
    <row r="15" spans="1:16" ht="22" customHeight="1" x14ac:dyDescent="0.55000000000000004">
      <c r="A15" s="29" t="s">
        <v>102</v>
      </c>
      <c r="B15" s="8" t="s">
        <v>98</v>
      </c>
      <c r="C15" s="8" t="s">
        <v>103</v>
      </c>
      <c r="D15" s="8" t="s">
        <v>104</v>
      </c>
      <c r="E15" s="8"/>
      <c r="F15" s="8" t="s">
        <v>75</v>
      </c>
      <c r="G15" s="8" t="s">
        <v>76</v>
      </c>
      <c r="H15" s="25">
        <v>45817</v>
      </c>
      <c r="I15" s="25">
        <v>45821</v>
      </c>
      <c r="J15" s="21">
        <f t="shared" si="0"/>
        <v>5</v>
      </c>
      <c r="K15" s="8" t="s">
        <v>97</v>
      </c>
      <c r="L15" s="8" t="s">
        <v>105</v>
      </c>
      <c r="M15" s="13" t="s">
        <v>338</v>
      </c>
      <c r="N15" s="13"/>
      <c r="O15" s="17" t="s">
        <v>25</v>
      </c>
      <c r="P15" s="33"/>
    </row>
    <row r="16" spans="1:16" ht="22" customHeight="1" x14ac:dyDescent="0.55000000000000004">
      <c r="A16" s="29" t="s">
        <v>106</v>
      </c>
      <c r="B16" s="8" t="s">
        <v>98</v>
      </c>
      <c r="C16" s="8" t="s">
        <v>107</v>
      </c>
      <c r="D16" s="8" t="s">
        <v>108</v>
      </c>
      <c r="E16" s="8"/>
      <c r="F16" s="8" t="s">
        <v>109</v>
      </c>
      <c r="G16" s="8" t="s">
        <v>110</v>
      </c>
      <c r="H16" s="25">
        <v>45820</v>
      </c>
      <c r="I16" s="25">
        <v>45824</v>
      </c>
      <c r="J16" s="21">
        <f t="shared" si="0"/>
        <v>3</v>
      </c>
      <c r="K16" s="8" t="s">
        <v>102</v>
      </c>
      <c r="L16" s="8" t="s">
        <v>111</v>
      </c>
      <c r="M16" s="13" t="s">
        <v>338</v>
      </c>
      <c r="N16" s="13"/>
      <c r="O16" s="17" t="s">
        <v>25</v>
      </c>
      <c r="P16" s="33"/>
    </row>
    <row r="17" spans="1:16" ht="22" customHeight="1" x14ac:dyDescent="0.55000000000000004">
      <c r="A17" s="27" t="s">
        <v>112</v>
      </c>
      <c r="B17" s="9" t="s">
        <v>98</v>
      </c>
      <c r="C17" s="9" t="s">
        <v>113</v>
      </c>
      <c r="D17" s="9" t="s">
        <v>114</v>
      </c>
      <c r="E17" s="9" t="s">
        <v>115</v>
      </c>
      <c r="F17" s="9" t="s">
        <v>116</v>
      </c>
      <c r="G17" s="9" t="s">
        <v>117</v>
      </c>
      <c r="H17" s="23">
        <v>45825</v>
      </c>
      <c r="I17" s="23">
        <v>45825</v>
      </c>
      <c r="J17" s="19">
        <f t="shared" si="0"/>
        <v>1</v>
      </c>
      <c r="K17" s="9" t="s">
        <v>106</v>
      </c>
      <c r="L17" s="9" t="s">
        <v>118</v>
      </c>
      <c r="M17" s="11" t="s">
        <v>338</v>
      </c>
      <c r="N17" s="11"/>
      <c r="O17" s="15" t="s">
        <v>25</v>
      </c>
      <c r="P17" s="31" t="s">
        <v>119</v>
      </c>
    </row>
    <row r="18" spans="1:16" ht="22" customHeight="1" x14ac:dyDescent="0.55000000000000004">
      <c r="A18" s="29" t="s">
        <v>120</v>
      </c>
      <c r="B18" s="8" t="s">
        <v>98</v>
      </c>
      <c r="C18" s="8" t="s">
        <v>121</v>
      </c>
      <c r="D18" s="8" t="s">
        <v>122</v>
      </c>
      <c r="E18" s="8" t="s">
        <v>123</v>
      </c>
      <c r="F18" s="8" t="s">
        <v>37</v>
      </c>
      <c r="G18" s="8" t="s">
        <v>38</v>
      </c>
      <c r="H18" s="25">
        <v>45826</v>
      </c>
      <c r="I18" s="25">
        <v>45826</v>
      </c>
      <c r="J18" s="21">
        <f t="shared" si="0"/>
        <v>1</v>
      </c>
      <c r="K18" s="8" t="s">
        <v>112</v>
      </c>
      <c r="L18" s="8" t="s">
        <v>124</v>
      </c>
      <c r="M18" s="13" t="s">
        <v>338</v>
      </c>
      <c r="N18" s="13"/>
      <c r="O18" s="17" t="s">
        <v>25</v>
      </c>
      <c r="P18" s="33" t="s">
        <v>125</v>
      </c>
    </row>
    <row r="19" spans="1:16" ht="22" customHeight="1" x14ac:dyDescent="0.55000000000000004">
      <c r="A19" s="28" t="s">
        <v>126</v>
      </c>
      <c r="B19" s="7" t="s">
        <v>127</v>
      </c>
      <c r="C19" s="7" t="s">
        <v>128</v>
      </c>
      <c r="D19" s="7" t="s">
        <v>129</v>
      </c>
      <c r="E19" s="7"/>
      <c r="F19" s="7" t="s">
        <v>68</v>
      </c>
      <c r="G19" s="7" t="s">
        <v>69</v>
      </c>
      <c r="H19" s="24">
        <v>45827</v>
      </c>
      <c r="I19" s="24">
        <v>45835</v>
      </c>
      <c r="J19" s="20">
        <f t="shared" si="0"/>
        <v>7</v>
      </c>
      <c r="K19" s="7" t="s">
        <v>130</v>
      </c>
      <c r="L19" s="7" t="s">
        <v>131</v>
      </c>
      <c r="M19" s="12" t="s">
        <v>338</v>
      </c>
      <c r="N19" s="12"/>
      <c r="O19" s="16" t="s">
        <v>25</v>
      </c>
      <c r="P19" s="32"/>
    </row>
    <row r="20" spans="1:16" ht="22" customHeight="1" x14ac:dyDescent="0.55000000000000004">
      <c r="A20" s="28" t="s">
        <v>132</v>
      </c>
      <c r="B20" s="7" t="s">
        <v>127</v>
      </c>
      <c r="C20" s="7" t="s">
        <v>133</v>
      </c>
      <c r="D20" s="7" t="s">
        <v>134</v>
      </c>
      <c r="E20" s="7"/>
      <c r="F20" s="7" t="s">
        <v>81</v>
      </c>
      <c r="G20" s="7" t="s">
        <v>82</v>
      </c>
      <c r="H20" s="24">
        <v>45838</v>
      </c>
      <c r="I20" s="24">
        <v>45840</v>
      </c>
      <c r="J20" s="20">
        <f t="shared" si="0"/>
        <v>3</v>
      </c>
      <c r="K20" s="7" t="s">
        <v>126</v>
      </c>
      <c r="L20" s="7" t="s">
        <v>135</v>
      </c>
      <c r="M20" s="12" t="s">
        <v>338</v>
      </c>
      <c r="N20" s="12"/>
      <c r="O20" s="16" t="s">
        <v>25</v>
      </c>
      <c r="P20" s="32"/>
    </row>
    <row r="21" spans="1:16" ht="22" customHeight="1" x14ac:dyDescent="0.55000000000000004">
      <c r="A21" s="28" t="s">
        <v>136</v>
      </c>
      <c r="B21" s="7" t="s">
        <v>127</v>
      </c>
      <c r="C21" s="7" t="s">
        <v>137</v>
      </c>
      <c r="D21" s="7" t="s">
        <v>138</v>
      </c>
      <c r="E21" s="7" t="s">
        <v>139</v>
      </c>
      <c r="F21" s="7" t="s">
        <v>109</v>
      </c>
      <c r="G21" s="7" t="s">
        <v>110</v>
      </c>
      <c r="H21" s="24">
        <v>45839</v>
      </c>
      <c r="I21" s="24">
        <v>45841</v>
      </c>
      <c r="J21" s="20">
        <f t="shared" si="0"/>
        <v>3</v>
      </c>
      <c r="K21" s="7" t="s">
        <v>140</v>
      </c>
      <c r="L21" s="7" t="s">
        <v>141</v>
      </c>
      <c r="M21" s="12" t="s">
        <v>338</v>
      </c>
      <c r="N21" s="12"/>
      <c r="O21" s="16" t="s">
        <v>25</v>
      </c>
      <c r="P21" s="32"/>
    </row>
    <row r="22" spans="1:16" ht="22" customHeight="1" x14ac:dyDescent="0.55000000000000004">
      <c r="A22" s="28" t="s">
        <v>142</v>
      </c>
      <c r="B22" s="7" t="s">
        <v>127</v>
      </c>
      <c r="C22" s="7" t="s">
        <v>143</v>
      </c>
      <c r="D22" s="7" t="s">
        <v>144</v>
      </c>
      <c r="E22" s="7" t="s">
        <v>145</v>
      </c>
      <c r="F22" s="7" t="s">
        <v>146</v>
      </c>
      <c r="G22" s="7" t="s">
        <v>147</v>
      </c>
      <c r="H22" s="24">
        <v>45841</v>
      </c>
      <c r="I22" s="24">
        <v>45842</v>
      </c>
      <c r="J22" s="20">
        <f t="shared" si="0"/>
        <v>2</v>
      </c>
      <c r="K22" s="7" t="s">
        <v>148</v>
      </c>
      <c r="L22" s="7" t="s">
        <v>149</v>
      </c>
      <c r="M22" s="12" t="s">
        <v>338</v>
      </c>
      <c r="N22" s="12"/>
      <c r="O22" s="16" t="s">
        <v>25</v>
      </c>
      <c r="P22" s="32" t="s">
        <v>150</v>
      </c>
    </row>
    <row r="23" spans="1:16" ht="22" customHeight="1" x14ac:dyDescent="0.55000000000000004">
      <c r="A23" s="26" t="s">
        <v>151</v>
      </c>
      <c r="B23" s="6" t="s">
        <v>152</v>
      </c>
      <c r="C23" s="6" t="s">
        <v>153</v>
      </c>
      <c r="D23" s="6" t="s">
        <v>153</v>
      </c>
      <c r="E23" s="6"/>
      <c r="F23" s="6" t="s">
        <v>109</v>
      </c>
      <c r="G23" s="6" t="s">
        <v>110</v>
      </c>
      <c r="H23" s="22">
        <v>45845</v>
      </c>
      <c r="I23" s="22">
        <v>45849</v>
      </c>
      <c r="J23" s="18">
        <f t="shared" si="0"/>
        <v>5</v>
      </c>
      <c r="K23" s="6" t="s">
        <v>142</v>
      </c>
      <c r="L23" s="6" t="s">
        <v>154</v>
      </c>
      <c r="M23" s="10" t="s">
        <v>338</v>
      </c>
      <c r="N23" s="10"/>
      <c r="O23" s="14" t="s">
        <v>25</v>
      </c>
      <c r="P23" s="30"/>
    </row>
    <row r="24" spans="1:16" ht="22" customHeight="1" x14ac:dyDescent="0.55000000000000004">
      <c r="A24" s="26" t="s">
        <v>155</v>
      </c>
      <c r="B24" s="6" t="s">
        <v>152</v>
      </c>
      <c r="C24" s="6" t="s">
        <v>156</v>
      </c>
      <c r="D24" s="6" t="s">
        <v>157</v>
      </c>
      <c r="E24" s="6"/>
      <c r="F24" s="6" t="s">
        <v>21</v>
      </c>
      <c r="G24" s="6" t="s">
        <v>22</v>
      </c>
      <c r="H24" s="22">
        <v>45848</v>
      </c>
      <c r="I24" s="22">
        <v>45852</v>
      </c>
      <c r="J24" s="18">
        <f t="shared" si="0"/>
        <v>3</v>
      </c>
      <c r="K24" s="6" t="s">
        <v>151</v>
      </c>
      <c r="L24" s="6" t="s">
        <v>158</v>
      </c>
      <c r="M24" s="10" t="s">
        <v>338</v>
      </c>
      <c r="N24" s="10"/>
      <c r="O24" s="14" t="s">
        <v>25</v>
      </c>
      <c r="P24" s="30"/>
    </row>
    <row r="25" spans="1:16" ht="22" customHeight="1" x14ac:dyDescent="0.55000000000000004">
      <c r="A25" s="27" t="s">
        <v>159</v>
      </c>
      <c r="B25" s="9" t="s">
        <v>152</v>
      </c>
      <c r="C25" s="9" t="s">
        <v>160</v>
      </c>
      <c r="D25" s="9" t="s">
        <v>161</v>
      </c>
      <c r="E25" s="9" t="s">
        <v>162</v>
      </c>
      <c r="F25" s="9" t="s">
        <v>163</v>
      </c>
      <c r="G25" s="9" t="s">
        <v>164</v>
      </c>
      <c r="H25" s="23">
        <v>45853</v>
      </c>
      <c r="I25" s="23">
        <v>45853</v>
      </c>
      <c r="J25" s="19">
        <f t="shared" si="0"/>
        <v>1</v>
      </c>
      <c r="K25" s="9" t="s">
        <v>155</v>
      </c>
      <c r="L25" s="9" t="s">
        <v>165</v>
      </c>
      <c r="M25" s="11" t="s">
        <v>338</v>
      </c>
      <c r="N25" s="11"/>
      <c r="O25" s="15" t="s">
        <v>25</v>
      </c>
      <c r="P25" s="31" t="s">
        <v>166</v>
      </c>
    </row>
    <row r="26" spans="1:16" ht="22" customHeight="1" x14ac:dyDescent="0.55000000000000004">
      <c r="A26" s="26" t="s">
        <v>167</v>
      </c>
      <c r="B26" s="6" t="s">
        <v>152</v>
      </c>
      <c r="C26" s="6" t="s">
        <v>168</v>
      </c>
      <c r="D26" s="6" t="s">
        <v>169</v>
      </c>
      <c r="E26" s="6"/>
      <c r="F26" s="6" t="s">
        <v>21</v>
      </c>
      <c r="G26" s="6" t="s">
        <v>22</v>
      </c>
      <c r="H26" s="22">
        <v>45854</v>
      </c>
      <c r="I26" s="22">
        <v>45856</v>
      </c>
      <c r="J26" s="18">
        <f t="shared" si="0"/>
        <v>3</v>
      </c>
      <c r="K26" s="6" t="s">
        <v>159</v>
      </c>
      <c r="L26" s="6" t="s">
        <v>170</v>
      </c>
      <c r="M26" s="10" t="s">
        <v>338</v>
      </c>
      <c r="N26" s="10"/>
      <c r="O26" s="14" t="s">
        <v>25</v>
      </c>
      <c r="P26" s="30"/>
    </row>
    <row r="27" spans="1:16" ht="22" customHeight="1" x14ac:dyDescent="0.55000000000000004">
      <c r="A27" s="26" t="s">
        <v>171</v>
      </c>
      <c r="B27" s="6" t="s">
        <v>152</v>
      </c>
      <c r="C27" s="6" t="s">
        <v>172</v>
      </c>
      <c r="D27" s="6" t="s">
        <v>173</v>
      </c>
      <c r="E27" s="6" t="s">
        <v>174</v>
      </c>
      <c r="F27" s="6" t="s">
        <v>116</v>
      </c>
      <c r="G27" s="6" t="s">
        <v>117</v>
      </c>
      <c r="H27" s="22">
        <v>45854</v>
      </c>
      <c r="I27" s="22">
        <v>45856</v>
      </c>
      <c r="J27" s="18">
        <f t="shared" si="0"/>
        <v>3</v>
      </c>
      <c r="K27" s="6" t="s">
        <v>159</v>
      </c>
      <c r="L27" s="6" t="s">
        <v>175</v>
      </c>
      <c r="M27" s="10" t="s">
        <v>338</v>
      </c>
      <c r="N27" s="10"/>
      <c r="O27" s="14"/>
      <c r="P27" s="30" t="s">
        <v>176</v>
      </c>
    </row>
    <row r="28" spans="1:16" ht="22" customHeight="1" x14ac:dyDescent="0.55000000000000004">
      <c r="A28" s="26" t="s">
        <v>177</v>
      </c>
      <c r="B28" s="6" t="s">
        <v>152</v>
      </c>
      <c r="C28" s="6" t="s">
        <v>53</v>
      </c>
      <c r="D28" s="6" t="s">
        <v>178</v>
      </c>
      <c r="E28" s="6" t="s">
        <v>179</v>
      </c>
      <c r="F28" s="6" t="s">
        <v>37</v>
      </c>
      <c r="G28" s="6" t="s">
        <v>38</v>
      </c>
      <c r="H28" s="22">
        <v>45853</v>
      </c>
      <c r="I28" s="22">
        <v>45860</v>
      </c>
      <c r="J28" s="18">
        <f t="shared" si="0"/>
        <v>6</v>
      </c>
      <c r="K28" s="6" t="s">
        <v>159</v>
      </c>
      <c r="L28" s="6" t="s">
        <v>56</v>
      </c>
      <c r="M28" s="10" t="s">
        <v>338</v>
      </c>
      <c r="N28" s="10"/>
      <c r="O28" s="14"/>
      <c r="P28" s="86" t="s">
        <v>340</v>
      </c>
    </row>
    <row r="29" spans="1:16" ht="22" customHeight="1" x14ac:dyDescent="0.55000000000000004">
      <c r="A29" s="34" t="s">
        <v>180</v>
      </c>
      <c r="B29" s="35" t="s">
        <v>152</v>
      </c>
      <c r="C29" s="35" t="s">
        <v>181</v>
      </c>
      <c r="D29" s="35" t="s">
        <v>181</v>
      </c>
      <c r="E29" s="35" t="s">
        <v>182</v>
      </c>
      <c r="F29" s="35" t="s">
        <v>37</v>
      </c>
      <c r="G29" s="35" t="s">
        <v>38</v>
      </c>
      <c r="H29" s="36">
        <v>45859</v>
      </c>
      <c r="I29" s="36">
        <v>45860</v>
      </c>
      <c r="J29" s="37">
        <f t="shared" si="0"/>
        <v>2</v>
      </c>
      <c r="K29" s="35" t="s">
        <v>183</v>
      </c>
      <c r="L29" s="35" t="s">
        <v>184</v>
      </c>
      <c r="M29" s="38" t="s">
        <v>338</v>
      </c>
      <c r="N29" s="38"/>
      <c r="O29" s="39" t="s">
        <v>25</v>
      </c>
      <c r="P29" s="40" t="s">
        <v>185</v>
      </c>
    </row>
  </sheetData>
  <phoneticPr fontId="10"/>
  <conditionalFormatting sqref="M2:M29">
    <cfRule type="containsText" dxfId="7" priority="1" operator="containsText" text="完了">
      <formula>NOT(ISERROR(SEARCH("完了",M2)))</formula>
    </cfRule>
    <cfRule type="containsText" dxfId="6" priority="2" operator="containsText" text="進行中">
      <formula>NOT(ISERROR(SEARCH("進行中",M2)))</formula>
    </cfRule>
    <cfRule type="containsText" dxfId="5" priority="3" operator="containsText" text="未着手">
      <formula>NOT(ISERROR(SEARCH("未着手",M2)))</formula>
    </cfRule>
    <cfRule type="containsText" dxfId="4" priority="4" operator="containsText" text="保留">
      <formula>NOT(ISERROR(SEARCH("保留",M2)))</formula>
    </cfRule>
    <cfRule type="containsText" dxfId="3" priority="5" operator="containsText" text="中止">
      <formula>NOT(ISERROR(SEARCH("中止",M2)))</formula>
    </cfRule>
  </conditionalFormatting>
  <conditionalFormatting sqref="N2:N29">
    <cfRule type="containsText" dxfId="2" priority="6" operator="containsText" text="グリーン">
      <formula>NOT(ISERROR(SEARCH("グリーン",N2)))</formula>
    </cfRule>
    <cfRule type="containsText" dxfId="1" priority="7" operator="containsText" text="イエロー">
      <formula>NOT(ISERROR(SEARCH("イエロー",N2)))</formula>
    </cfRule>
    <cfRule type="containsText" dxfId="0" priority="8" operator="containsText" text="レッド">
      <formula>NOT(ISERROR(SEARCH("レッド",N2)))</formula>
    </cfRule>
  </conditionalFormatting>
  <dataValidations count="2">
    <dataValidation type="list" allowBlank="1" showInputMessage="1" showErrorMessage="1" promptTitle="ステータス" prompt="タスクの進捗状態を選択してください" sqref="M2:M29" xr:uid="{A8A511FC-9974-4934-8A1C-10514F3CB434}">
      <formula1>"未着手,進行中,完了,保留,中止"</formula1>
    </dataValidation>
    <dataValidation type="list" allowBlank="1" showInputMessage="1" showErrorMessage="1" promptTitle="進捗判定" prompt="グリーン: 差異1日以内 / イエロー: 差異2-3日 / レッド: 差異4日以上" sqref="N2:N29" xr:uid="{05249FA7-97A1-4988-A72E-45D7A57AAFE9}">
      <formula1>"グリーン,イエロー,レッド"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C91B-987C-4BA9-BAF5-5CEA8E85D183}">
  <dimension ref="A1:G17"/>
  <sheetViews>
    <sheetView workbookViewId="0">
      <pane ySplit="2" topLeftCell="A3" activePane="bottomLeft" state="frozen"/>
      <selection pane="bottomLeft"/>
    </sheetView>
  </sheetViews>
  <sheetFormatPr defaultRowHeight="18" x14ac:dyDescent="0.55000000000000004"/>
  <cols>
    <col min="1" max="1" width="9.1640625" customWidth="1"/>
    <col min="2" max="2" width="29.1640625" customWidth="1"/>
    <col min="3" max="3" width="14.1640625" customWidth="1"/>
    <col min="4" max="4" width="40" customWidth="1"/>
    <col min="5" max="5" width="33.33203125" customWidth="1"/>
    <col min="6" max="6" width="21.6640625" customWidth="1"/>
    <col min="7" max="7" width="15" customWidth="1"/>
  </cols>
  <sheetData>
    <row r="1" spans="1:7" ht="19.5" x14ac:dyDescent="0.55000000000000004">
      <c r="A1" s="41" t="s">
        <v>186</v>
      </c>
    </row>
    <row r="2" spans="1:7" ht="28" customHeight="1" x14ac:dyDescent="0.55000000000000004">
      <c r="A2" s="45" t="s">
        <v>187</v>
      </c>
      <c r="B2" s="43" t="s">
        <v>188</v>
      </c>
      <c r="C2" s="43" t="s">
        <v>189</v>
      </c>
      <c r="D2" s="43" t="s">
        <v>190</v>
      </c>
      <c r="E2" s="43" t="s">
        <v>191</v>
      </c>
      <c r="F2" s="43" t="s">
        <v>192</v>
      </c>
      <c r="G2" s="48" t="s">
        <v>12</v>
      </c>
    </row>
    <row r="3" spans="1:7" x14ac:dyDescent="0.55000000000000004">
      <c r="A3" s="46" t="s">
        <v>193</v>
      </c>
      <c r="B3" s="4" t="s">
        <v>194</v>
      </c>
      <c r="C3" s="42">
        <v>45790</v>
      </c>
      <c r="D3" s="4" t="s">
        <v>195</v>
      </c>
      <c r="E3" s="4" t="s">
        <v>196</v>
      </c>
      <c r="F3" s="4" t="s">
        <v>37</v>
      </c>
      <c r="G3" s="49" t="s">
        <v>338</v>
      </c>
    </row>
    <row r="4" spans="1:7" x14ac:dyDescent="0.55000000000000004">
      <c r="A4" s="46" t="s">
        <v>197</v>
      </c>
      <c r="B4" s="4" t="s">
        <v>198</v>
      </c>
      <c r="C4" s="42">
        <v>45797</v>
      </c>
      <c r="D4" s="4" t="s">
        <v>23</v>
      </c>
      <c r="E4" s="4" t="s">
        <v>199</v>
      </c>
      <c r="F4" s="4" t="s">
        <v>37</v>
      </c>
      <c r="G4" s="49" t="s">
        <v>338</v>
      </c>
    </row>
    <row r="5" spans="1:7" x14ac:dyDescent="0.55000000000000004">
      <c r="A5" s="46" t="s">
        <v>200</v>
      </c>
      <c r="B5" s="4" t="s">
        <v>201</v>
      </c>
      <c r="C5" s="42">
        <v>45804</v>
      </c>
      <c r="D5" s="4" t="s">
        <v>202</v>
      </c>
      <c r="E5" s="4" t="s">
        <v>203</v>
      </c>
      <c r="F5" s="4" t="s">
        <v>75</v>
      </c>
      <c r="G5" s="49" t="s">
        <v>338</v>
      </c>
    </row>
    <row r="6" spans="1:7" x14ac:dyDescent="0.55000000000000004">
      <c r="A6" s="46" t="s">
        <v>204</v>
      </c>
      <c r="B6" s="4" t="s">
        <v>205</v>
      </c>
      <c r="C6" s="42">
        <v>45807</v>
      </c>
      <c r="D6" s="4" t="s">
        <v>23</v>
      </c>
      <c r="E6" s="4" t="s">
        <v>206</v>
      </c>
      <c r="F6" s="4" t="s">
        <v>44</v>
      </c>
      <c r="G6" s="49" t="s">
        <v>338</v>
      </c>
    </row>
    <row r="7" spans="1:7" x14ac:dyDescent="0.55000000000000004">
      <c r="A7" s="46" t="s">
        <v>207</v>
      </c>
      <c r="B7" s="4" t="s">
        <v>208</v>
      </c>
      <c r="C7" s="42">
        <v>45825</v>
      </c>
      <c r="D7" s="4" t="s">
        <v>209</v>
      </c>
      <c r="E7" s="4" t="s">
        <v>210</v>
      </c>
      <c r="F7" s="4" t="s">
        <v>75</v>
      </c>
      <c r="G7" s="49" t="s">
        <v>338</v>
      </c>
    </row>
    <row r="8" spans="1:7" x14ac:dyDescent="0.55000000000000004">
      <c r="A8" s="46" t="s">
        <v>211</v>
      </c>
      <c r="B8" s="4" t="s">
        <v>212</v>
      </c>
      <c r="C8" s="42">
        <v>45826</v>
      </c>
      <c r="D8" s="4" t="s">
        <v>213</v>
      </c>
      <c r="E8" s="4" t="s">
        <v>214</v>
      </c>
      <c r="F8" s="4" t="s">
        <v>37</v>
      </c>
      <c r="G8" s="49" t="s">
        <v>338</v>
      </c>
    </row>
    <row r="9" spans="1:7" x14ac:dyDescent="0.55000000000000004">
      <c r="A9" s="46" t="s">
        <v>215</v>
      </c>
      <c r="B9" s="4" t="s">
        <v>216</v>
      </c>
      <c r="C9" s="42">
        <v>45842</v>
      </c>
      <c r="D9" s="4" t="s">
        <v>23</v>
      </c>
      <c r="E9" s="4" t="s">
        <v>217</v>
      </c>
      <c r="F9" s="4" t="s">
        <v>75</v>
      </c>
      <c r="G9" s="49" t="s">
        <v>338</v>
      </c>
    </row>
    <row r="10" spans="1:7" x14ac:dyDescent="0.55000000000000004">
      <c r="A10" s="46" t="s">
        <v>218</v>
      </c>
      <c r="B10" s="4" t="s">
        <v>219</v>
      </c>
      <c r="C10" s="42">
        <v>45853</v>
      </c>
      <c r="D10" s="4" t="s">
        <v>220</v>
      </c>
      <c r="E10" s="4" t="s">
        <v>221</v>
      </c>
      <c r="F10" s="4" t="s">
        <v>163</v>
      </c>
      <c r="G10" s="49" t="s">
        <v>338</v>
      </c>
    </row>
    <row r="11" spans="1:7" x14ac:dyDescent="0.55000000000000004">
      <c r="A11" s="47" t="s">
        <v>222</v>
      </c>
      <c r="B11" s="5" t="s">
        <v>223</v>
      </c>
      <c r="C11" s="44">
        <v>45860</v>
      </c>
      <c r="D11" s="5" t="s">
        <v>23</v>
      </c>
      <c r="E11" s="5" t="s">
        <v>224</v>
      </c>
      <c r="F11" s="5" t="s">
        <v>37</v>
      </c>
      <c r="G11" s="50" t="s">
        <v>338</v>
      </c>
    </row>
    <row r="14" spans="1:7" x14ac:dyDescent="0.55000000000000004">
      <c r="A14" s="51" t="s">
        <v>225</v>
      </c>
    </row>
    <row r="15" spans="1:7" x14ac:dyDescent="0.55000000000000004">
      <c r="A15" s="45" t="s">
        <v>226</v>
      </c>
      <c r="B15" s="43" t="s">
        <v>227</v>
      </c>
      <c r="C15" s="43" t="s">
        <v>228</v>
      </c>
      <c r="D15" s="43" t="s">
        <v>229</v>
      </c>
      <c r="E15" s="43" t="s">
        <v>230</v>
      </c>
      <c r="F15" s="43" t="s">
        <v>231</v>
      </c>
      <c r="G15" s="48" t="s">
        <v>12</v>
      </c>
    </row>
    <row r="16" spans="1:7" x14ac:dyDescent="0.55000000000000004">
      <c r="A16" s="56">
        <v>1</v>
      </c>
      <c r="B16" s="4" t="s">
        <v>232</v>
      </c>
      <c r="C16" s="52">
        <v>0.4</v>
      </c>
      <c r="D16" s="53" t="s">
        <v>233</v>
      </c>
      <c r="E16" s="4" t="s">
        <v>234</v>
      </c>
      <c r="F16" s="42">
        <v>45797</v>
      </c>
      <c r="G16" s="49" t="s">
        <v>338</v>
      </c>
    </row>
    <row r="17" spans="1:7" x14ac:dyDescent="0.55000000000000004">
      <c r="A17" s="57">
        <v>2</v>
      </c>
      <c r="B17" s="5" t="s">
        <v>235</v>
      </c>
      <c r="C17" s="54">
        <v>0.6</v>
      </c>
      <c r="D17" s="55" t="s">
        <v>236</v>
      </c>
      <c r="E17" s="5" t="s">
        <v>237</v>
      </c>
      <c r="F17" s="44">
        <v>45860</v>
      </c>
      <c r="G17" s="50" t="s">
        <v>338</v>
      </c>
    </row>
  </sheetData>
  <phoneticPr fontId="10"/>
  <dataValidations count="2">
    <dataValidation type="list" allowBlank="1" showInputMessage="1" showErrorMessage="1" sqref="G3:G11" xr:uid="{6C8904CC-B994-4582-A90B-3C3AC6051769}">
      <formula1>"未着手,進行中,完了,保留"</formula1>
    </dataValidation>
    <dataValidation type="list" allowBlank="1" showInputMessage="1" showErrorMessage="1" sqref="G16:G17" xr:uid="{52AE6537-C14F-4398-AA46-B327EFD9365B}">
      <formula1>"未着手,請求済,支払確認済"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7F30-EB8E-42F8-B2C7-84BDD1B93D69}">
  <dimension ref="A1:E17"/>
  <sheetViews>
    <sheetView workbookViewId="0"/>
  </sheetViews>
  <sheetFormatPr defaultRowHeight="18" x14ac:dyDescent="0.55000000000000004"/>
  <cols>
    <col min="1" max="1" width="32.5" customWidth="1"/>
    <col min="2" max="2" width="18.33203125" customWidth="1"/>
    <col min="3" max="3" width="25.83203125" customWidth="1"/>
    <col min="4" max="4" width="32.5" customWidth="1"/>
    <col min="5" max="5" width="36.6640625" customWidth="1"/>
  </cols>
  <sheetData>
    <row r="1" spans="1:5" ht="19.5" x14ac:dyDescent="0.55000000000000004">
      <c r="A1" s="41" t="s">
        <v>238</v>
      </c>
    </row>
    <row r="2" spans="1:5" x14ac:dyDescent="0.55000000000000004">
      <c r="A2" s="63" t="s">
        <v>6</v>
      </c>
      <c r="B2" s="60" t="s">
        <v>239</v>
      </c>
      <c r="C2" s="60" t="s">
        <v>240</v>
      </c>
      <c r="D2" s="66" t="s">
        <v>241</v>
      </c>
    </row>
    <row r="3" spans="1:5" x14ac:dyDescent="0.55000000000000004">
      <c r="A3" s="64" t="s">
        <v>242</v>
      </c>
      <c r="B3" s="58" t="s">
        <v>243</v>
      </c>
      <c r="C3" s="59" t="s">
        <v>244</v>
      </c>
      <c r="D3" s="67" t="s">
        <v>245</v>
      </c>
    </row>
    <row r="4" spans="1:5" x14ac:dyDescent="0.55000000000000004">
      <c r="A4" s="64" t="s">
        <v>246</v>
      </c>
      <c r="B4" s="58" t="s">
        <v>38</v>
      </c>
      <c r="C4" s="59" t="s">
        <v>37</v>
      </c>
      <c r="D4" s="67" t="s">
        <v>247</v>
      </c>
    </row>
    <row r="5" spans="1:5" x14ac:dyDescent="0.55000000000000004">
      <c r="A5" s="64" t="s">
        <v>248</v>
      </c>
      <c r="B5" s="58" t="s">
        <v>76</v>
      </c>
      <c r="C5" s="59" t="s">
        <v>75</v>
      </c>
      <c r="D5" s="67" t="s">
        <v>249</v>
      </c>
    </row>
    <row r="6" spans="1:5" x14ac:dyDescent="0.55000000000000004">
      <c r="A6" s="64" t="s">
        <v>250</v>
      </c>
      <c r="B6" s="58" t="s">
        <v>45</v>
      </c>
      <c r="C6" s="59" t="s">
        <v>44</v>
      </c>
      <c r="D6" s="67" t="s">
        <v>251</v>
      </c>
    </row>
    <row r="7" spans="1:5" x14ac:dyDescent="0.55000000000000004">
      <c r="A7" s="64" t="s">
        <v>252</v>
      </c>
      <c r="B7" s="58" t="s">
        <v>253</v>
      </c>
      <c r="C7" s="59" t="s">
        <v>254</v>
      </c>
      <c r="D7" s="67" t="s">
        <v>255</v>
      </c>
    </row>
    <row r="8" spans="1:5" x14ac:dyDescent="0.55000000000000004">
      <c r="A8" s="65" t="s">
        <v>256</v>
      </c>
      <c r="B8" s="61" t="s">
        <v>147</v>
      </c>
      <c r="C8" s="62" t="s">
        <v>146</v>
      </c>
      <c r="D8" s="68" t="s">
        <v>257</v>
      </c>
    </row>
    <row r="11" spans="1:5" ht="19.5" x14ac:dyDescent="0.55000000000000004">
      <c r="A11" s="41" t="s">
        <v>258</v>
      </c>
    </row>
    <row r="12" spans="1:5" x14ac:dyDescent="0.55000000000000004">
      <c r="A12" s="63" t="s">
        <v>1</v>
      </c>
      <c r="B12" s="60" t="s">
        <v>259</v>
      </c>
      <c r="C12" s="60" t="s">
        <v>260</v>
      </c>
      <c r="D12" s="60" t="s">
        <v>261</v>
      </c>
      <c r="E12" s="66" t="s">
        <v>262</v>
      </c>
    </row>
    <row r="13" spans="1:5" x14ac:dyDescent="0.55000000000000004">
      <c r="A13" s="64" t="s">
        <v>263</v>
      </c>
      <c r="B13" s="69" t="s">
        <v>264</v>
      </c>
      <c r="C13" s="59" t="s">
        <v>37</v>
      </c>
      <c r="D13" s="59" t="s">
        <v>265</v>
      </c>
      <c r="E13" s="67" t="s">
        <v>266</v>
      </c>
    </row>
    <row r="14" spans="1:5" x14ac:dyDescent="0.55000000000000004">
      <c r="A14" s="64" t="s">
        <v>267</v>
      </c>
      <c r="B14" s="69" t="s">
        <v>268</v>
      </c>
      <c r="C14" s="59" t="s">
        <v>269</v>
      </c>
      <c r="D14" s="59" t="s">
        <v>146</v>
      </c>
      <c r="E14" s="67" t="s">
        <v>270</v>
      </c>
    </row>
    <row r="15" spans="1:5" x14ac:dyDescent="0.55000000000000004">
      <c r="A15" s="64" t="s">
        <v>271</v>
      </c>
      <c r="B15" s="69" t="s">
        <v>272</v>
      </c>
      <c r="C15" s="59" t="s">
        <v>75</v>
      </c>
      <c r="D15" s="59" t="s">
        <v>273</v>
      </c>
      <c r="E15" s="67" t="s">
        <v>274</v>
      </c>
    </row>
    <row r="16" spans="1:5" x14ac:dyDescent="0.55000000000000004">
      <c r="A16" s="64" t="s">
        <v>275</v>
      </c>
      <c r="B16" s="69" t="s">
        <v>276</v>
      </c>
      <c r="C16" s="59" t="s">
        <v>75</v>
      </c>
      <c r="D16" s="59" t="s">
        <v>277</v>
      </c>
      <c r="E16" s="67" t="s">
        <v>278</v>
      </c>
    </row>
    <row r="17" spans="1:5" x14ac:dyDescent="0.55000000000000004">
      <c r="A17" s="65" t="s">
        <v>279</v>
      </c>
      <c r="B17" s="70" t="s">
        <v>280</v>
      </c>
      <c r="C17" s="62" t="s">
        <v>281</v>
      </c>
      <c r="D17" s="62" t="s">
        <v>282</v>
      </c>
      <c r="E17" s="68" t="s">
        <v>283</v>
      </c>
    </row>
  </sheetData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A524-01F9-4E09-AB1C-84EEA313F9D4}">
  <dimension ref="A1:D31"/>
  <sheetViews>
    <sheetView workbookViewId="0"/>
  </sheetViews>
  <sheetFormatPr defaultRowHeight="18" x14ac:dyDescent="0.55000000000000004"/>
  <cols>
    <col min="1" max="1" width="19.1640625" customWidth="1"/>
    <col min="2" max="3" width="44.1640625" customWidth="1"/>
    <col min="4" max="4" width="33.33203125" customWidth="1"/>
  </cols>
  <sheetData>
    <row r="1" spans="1:4" ht="19.5" x14ac:dyDescent="0.55000000000000004">
      <c r="A1" s="41" t="s">
        <v>284</v>
      </c>
    </row>
    <row r="2" spans="1:4" x14ac:dyDescent="0.55000000000000004">
      <c r="A2" s="63" t="s">
        <v>285</v>
      </c>
      <c r="B2" s="60" t="s">
        <v>259</v>
      </c>
      <c r="C2" s="60" t="s">
        <v>286</v>
      </c>
      <c r="D2" s="66" t="s">
        <v>287</v>
      </c>
    </row>
    <row r="3" spans="1:4" x14ac:dyDescent="0.55000000000000004">
      <c r="A3" s="72" t="s">
        <v>288</v>
      </c>
      <c r="B3" s="71">
        <v>45826</v>
      </c>
      <c r="C3" s="59" t="s">
        <v>289</v>
      </c>
      <c r="D3" s="67" t="s">
        <v>290</v>
      </c>
    </row>
    <row r="4" spans="1:4" x14ac:dyDescent="0.55000000000000004">
      <c r="A4" s="73" t="s">
        <v>291</v>
      </c>
      <c r="B4" s="62" t="s">
        <v>292</v>
      </c>
      <c r="C4" s="62" t="s">
        <v>293</v>
      </c>
      <c r="D4" s="68" t="s">
        <v>294</v>
      </c>
    </row>
    <row r="7" spans="1:4" ht="19.5" x14ac:dyDescent="0.55000000000000004">
      <c r="A7" s="41" t="s">
        <v>295</v>
      </c>
    </row>
    <row r="8" spans="1:4" x14ac:dyDescent="0.55000000000000004">
      <c r="A8" s="63" t="s">
        <v>189</v>
      </c>
      <c r="B8" s="60" t="s">
        <v>296</v>
      </c>
      <c r="C8" s="66" t="s">
        <v>297</v>
      </c>
    </row>
    <row r="9" spans="1:4" x14ac:dyDescent="0.55000000000000004">
      <c r="A9" s="76">
        <v>45790</v>
      </c>
      <c r="B9" s="74" t="s">
        <v>298</v>
      </c>
      <c r="C9" s="79" t="s">
        <v>299</v>
      </c>
    </row>
    <row r="10" spans="1:4" x14ac:dyDescent="0.55000000000000004">
      <c r="A10" s="77">
        <v>45797</v>
      </c>
      <c r="B10" s="59" t="s">
        <v>300</v>
      </c>
      <c r="C10" s="67" t="s">
        <v>301</v>
      </c>
    </row>
    <row r="11" spans="1:4" x14ac:dyDescent="0.55000000000000004">
      <c r="A11" s="76">
        <v>45804</v>
      </c>
      <c r="B11" s="74" t="s">
        <v>302</v>
      </c>
      <c r="C11" s="79" t="s">
        <v>303</v>
      </c>
    </row>
    <row r="12" spans="1:4" x14ac:dyDescent="0.55000000000000004">
      <c r="A12" s="77">
        <v>45811</v>
      </c>
      <c r="B12" s="59" t="s">
        <v>300</v>
      </c>
      <c r="C12" s="67" t="s">
        <v>304</v>
      </c>
    </row>
    <row r="13" spans="1:4" x14ac:dyDescent="0.55000000000000004">
      <c r="A13" s="77">
        <v>45818</v>
      </c>
      <c r="B13" s="59" t="s">
        <v>300</v>
      </c>
      <c r="C13" s="67" t="s">
        <v>305</v>
      </c>
    </row>
    <row r="14" spans="1:4" x14ac:dyDescent="0.55000000000000004">
      <c r="A14" s="76">
        <v>45825</v>
      </c>
      <c r="B14" s="74" t="s">
        <v>306</v>
      </c>
      <c r="C14" s="79" t="s">
        <v>307</v>
      </c>
    </row>
    <row r="15" spans="1:4" x14ac:dyDescent="0.55000000000000004">
      <c r="A15" s="77">
        <v>45832</v>
      </c>
      <c r="B15" s="59" t="s">
        <v>300</v>
      </c>
      <c r="C15" s="67" t="s">
        <v>308</v>
      </c>
    </row>
    <row r="16" spans="1:4" x14ac:dyDescent="0.55000000000000004">
      <c r="A16" s="77">
        <v>45839</v>
      </c>
      <c r="B16" s="59" t="s">
        <v>300</v>
      </c>
      <c r="C16" s="67" t="s">
        <v>309</v>
      </c>
    </row>
    <row r="17" spans="1:3" x14ac:dyDescent="0.55000000000000004">
      <c r="A17" s="77">
        <v>45846</v>
      </c>
      <c r="B17" s="59" t="s">
        <v>300</v>
      </c>
      <c r="C17" s="67" t="s">
        <v>310</v>
      </c>
    </row>
    <row r="18" spans="1:3" x14ac:dyDescent="0.55000000000000004">
      <c r="A18" s="78">
        <v>45853</v>
      </c>
      <c r="B18" s="75" t="s">
        <v>311</v>
      </c>
      <c r="C18" s="80" t="s">
        <v>221</v>
      </c>
    </row>
    <row r="21" spans="1:3" ht="19.5" x14ac:dyDescent="0.55000000000000004">
      <c r="A21" s="41" t="s">
        <v>312</v>
      </c>
    </row>
    <row r="22" spans="1:3" x14ac:dyDescent="0.55000000000000004">
      <c r="A22" s="63" t="s">
        <v>313</v>
      </c>
      <c r="B22" s="60" t="s">
        <v>314</v>
      </c>
      <c r="C22" s="66" t="s">
        <v>315</v>
      </c>
    </row>
    <row r="23" spans="1:3" x14ac:dyDescent="0.55000000000000004">
      <c r="A23" s="81" t="s">
        <v>316</v>
      </c>
      <c r="B23" s="59" t="s">
        <v>317</v>
      </c>
      <c r="C23" s="67" t="s">
        <v>318</v>
      </c>
    </row>
    <row r="24" spans="1:3" x14ac:dyDescent="0.55000000000000004">
      <c r="A24" s="82" t="s">
        <v>319</v>
      </c>
      <c r="B24" s="59" t="s">
        <v>320</v>
      </c>
      <c r="C24" s="67" t="s">
        <v>321</v>
      </c>
    </row>
    <row r="25" spans="1:3" x14ac:dyDescent="0.55000000000000004">
      <c r="A25" s="83" t="s">
        <v>322</v>
      </c>
      <c r="B25" s="62" t="s">
        <v>323</v>
      </c>
      <c r="C25" s="68" t="s">
        <v>324</v>
      </c>
    </row>
    <row r="27" spans="1:3" ht="19.5" x14ac:dyDescent="0.55000000000000004">
      <c r="A27" s="41" t="s">
        <v>325</v>
      </c>
    </row>
    <row r="28" spans="1:3" x14ac:dyDescent="0.55000000000000004">
      <c r="A28" s="63" t="s">
        <v>326</v>
      </c>
      <c r="B28" s="60" t="s">
        <v>327</v>
      </c>
      <c r="C28" s="66" t="s">
        <v>328</v>
      </c>
    </row>
    <row r="29" spans="1:3" x14ac:dyDescent="0.55000000000000004">
      <c r="A29" s="84" t="s">
        <v>329</v>
      </c>
      <c r="B29" s="59" t="s">
        <v>330</v>
      </c>
      <c r="C29" s="67" t="s">
        <v>331</v>
      </c>
    </row>
    <row r="30" spans="1:3" x14ac:dyDescent="0.55000000000000004">
      <c r="A30" s="84" t="s">
        <v>332</v>
      </c>
      <c r="B30" s="59" t="s">
        <v>333</v>
      </c>
      <c r="C30" s="67" t="s">
        <v>334</v>
      </c>
    </row>
    <row r="31" spans="1:3" x14ac:dyDescent="0.55000000000000004">
      <c r="A31" s="85" t="s">
        <v>335</v>
      </c>
      <c r="B31" s="62" t="s">
        <v>336</v>
      </c>
      <c r="C31" s="68" t="s">
        <v>337</v>
      </c>
    </row>
  </sheetData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WBS</vt:lpstr>
      <vt:lpstr>マイルストーン</vt:lpstr>
      <vt:lpstr>リソース計画</vt:lpstr>
      <vt:lpstr>リスク・ルール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2026-04-08T03:19:25Z</dcterms:modified>
</cp:coreProperties>
</file>