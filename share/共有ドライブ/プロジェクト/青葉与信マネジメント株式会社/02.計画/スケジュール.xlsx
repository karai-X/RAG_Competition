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青葉与信マネジメント株式会社\02.計画\"/>
    </mc:Choice>
  </mc:AlternateContent>
  <xr:revisionPtr revIDLastSave="0" documentId="13_ncr:1_{FFF8A001-3BB8-4FC4-B484-0E9B63E5771A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sheet1" sheetId="1" r:id="rId1"/>
    <sheet name="Sheet2" sheetId="4" r:id="rId2"/>
    <sheet name="Sheet3" sheetId="5" r:id="rId3"/>
  </sheets>
  <definedNames>
    <definedName name="_xlnm._FilterDatabase" localSheetId="0" hidden="1">sheet1!$A$2:$N$25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<sst xmlns="http://schemas.openxmlformats.org/spreadsheetml/2006/main" count="436" uniqueCount="255">
  <si>
    <t>タスクID</t>
  </si>
  <si>
    <t>フェーズ</t>
  </si>
  <si>
    <t>フェーズ期間</t>
  </si>
  <si>
    <t>タスク名</t>
  </si>
  <si>
    <t>詳細・備考</t>
  </si>
  <si>
    <t>担当者</t>
  </si>
  <si>
    <t>開始日</t>
  </si>
  <si>
    <t>終了日</t>
  </si>
  <si>
    <t>稼働日数</t>
  </si>
  <si>
    <t>依存タスク</t>
  </si>
  <si>
    <t>成果物</t>
  </si>
  <si>
    <t>ステータス</t>
  </si>
  <si>
    <t>クリティカルパス</t>
  </si>
  <si>
    <t>備考</t>
  </si>
  <si>
    <t>T01</t>
  </si>
  <si>
    <t>1. 立上げ・前提確定</t>
  </si>
  <si>
    <t>04/09～04/11</t>
  </si>
  <si>
    <t>キックオフ会議実施</t>
  </si>
  <si>
    <t>体制、目的、loan_status定義、週次運営を確定</t>
  </si>
  <si>
    <t>伊藤 翔太</t>
  </si>
  <si>
    <t>—</t>
  </si>
  <si>
    <t>キックオフ議事録</t>
  </si>
  <si>
    <t>●</t>
  </si>
  <si>
    <t>MS1対応</t>
  </si>
  <si>
    <t>T02</t>
  </si>
  <si>
    <t>loan_status業務定義確定</t>
  </si>
  <si>
    <t>loan_statusの0/1業務定義を確定</t>
  </si>
  <si>
    <t>前提確定記録</t>
  </si>
  <si>
    <t>最上流必須CP</t>
  </si>
  <si>
    <t>T03</t>
  </si>
  <si>
    <t>interest_rate・grade利用可能時点確認</t>
  </si>
  <si>
    <t>リーケージ懸念変数の利用可能時点を確認</t>
  </si>
  <si>
    <t>リーケージ判断メモ</t>
  </si>
  <si>
    <t>T04</t>
  </si>
  <si>
    <t>週次会議・レビュー日程確定</t>
  </si>
  <si>
    <t>会議体・レビュー日程を確定し日程表配布</t>
  </si>
  <si>
    <t>会議計画表</t>
  </si>
  <si>
    <t>T05</t>
  </si>
  <si>
    <t>2. データ理解・品質確認</t>
  </si>
  <si>
    <t>04/10～04/18</t>
  </si>
  <si>
    <t>データ受領・読込確認</t>
  </si>
  <si>
    <t>正本データ(data\train.csv)の受領・読込確認</t>
  </si>
  <si>
    <t>斎藤 悠斗</t>
  </si>
  <si>
    <t>読込確認記録</t>
  </si>
  <si>
    <t>T06</t>
  </si>
  <si>
    <t>データ品質確認・型整備</t>
  </si>
  <si>
    <t>欠損値、型確認、カテゴリ確認、整形スクリプト作成</t>
  </si>
  <si>
    <t>品質確認結果、整形スクリプト</t>
  </si>
  <si>
    <t>T07</t>
  </si>
  <si>
    <t>変数定義表作成</t>
  </si>
  <si>
    <t>カラム説明.mdを基に変数定義表を整理</t>
  </si>
  <si>
    <t>藤田 彩 / 斎藤 悠斗</t>
  </si>
  <si>
    <t>変数定義表</t>
  </si>
  <si>
    <t>T08</t>
  </si>
  <si>
    <t>初期分布確認・外れ値確認</t>
  </si>
  <si>
    <t>各変数の分布、外れ値を確認し初期分析メモを作成</t>
  </si>
  <si>
    <t>山本 彩乃</t>
  </si>
  <si>
    <t>初期分析メモ</t>
  </si>
  <si>
    <t>MS2対応</t>
  </si>
  <si>
    <t>T09</t>
  </si>
  <si>
    <t>3. 探索的分析・仮説整理</t>
  </si>
  <si>
    <t>04/17～04/28</t>
  </si>
  <si>
    <t>基準不良率・単変量分析</t>
  </si>
  <si>
    <t>不良率把握、単変量分析を実施</t>
  </si>
  <si>
    <t>単変量分析結果</t>
  </si>
  <si>
    <t>T10</t>
  </si>
  <si>
    <t>セグメント別分析・仮説整理</t>
  </si>
  <si>
    <t>セグメント別不良率比較、仮説整理</t>
  </si>
  <si>
    <t>山本 彩乃 / 藤田 彩</t>
  </si>
  <si>
    <t>T07, T08</t>
  </si>
  <si>
    <t>セグメント分析資料</t>
  </si>
  <si>
    <t>T11</t>
  </si>
  <si>
    <t>中間レビュー資料作成</t>
  </si>
  <si>
    <t>探索的分析結果を中間レビュー資料に集約</t>
  </si>
  <si>
    <t>藤田 彩</t>
  </si>
  <si>
    <t>T09, T10</t>
  </si>
  <si>
    <t>中間レビュー資料</t>
  </si>
  <si>
    <t>T12</t>
  </si>
  <si>
    <t>中間レビュー会実施</t>
  </si>
  <si>
    <t>中間レビューで分析結果・論点を合意</t>
  </si>
  <si>
    <t>中間レビュー議事録</t>
  </si>
  <si>
    <t>MS3対応</t>
  </si>
  <si>
    <t>T13</t>
  </si>
  <si>
    <t>4. モデリング・評価</t>
  </si>
  <si>
    <t>04/30～05/13</t>
  </si>
  <si>
    <t>変更要求影響評価・変更管理判定</t>
  </si>
  <si>
    <t>中間レビュー後の追加要望を仕分け・影響確定</t>
  </si>
  <si>
    <t>変更管理記録</t>
  </si>
  <si>
    <t>MS4対応</t>
  </si>
  <si>
    <t>T14</t>
  </si>
  <si>
    <t>ベースラインモデル構築</t>
  </si>
  <si>
    <t>ベースラインモデルの構築・学習・評価</t>
  </si>
  <si>
    <t>ベースラインモデル結果</t>
  </si>
  <si>
    <t>T15</t>
  </si>
  <si>
    <t>説明性重視モデル構築</t>
  </si>
  <si>
    <t>説明性重視モデルの構築・学習・評価</t>
  </si>
  <si>
    <t>T12, T13</t>
  </si>
  <si>
    <t>説明性重視モデル結果</t>
  </si>
  <si>
    <t>T16</t>
  </si>
  <si>
    <t>評価指標算出・モデル比較</t>
  </si>
  <si>
    <t>ベースライン・説明性モデルの比較評価</t>
  </si>
  <si>
    <t>T14, T15</t>
  </si>
  <si>
    <t>評価指標一覧、比較表</t>
  </si>
  <si>
    <t>MS5対応</t>
  </si>
  <si>
    <t>T17</t>
  </si>
  <si>
    <t>5. 報告書作成・QA</t>
  </si>
  <si>
    <t>05/12～05/21</t>
  </si>
  <si>
    <t>リスク区分案・業務示唆整理</t>
  </si>
  <si>
    <t>リスク区分案と業務示唆を整理</t>
  </si>
  <si>
    <t>藤田 彩 / 山本 彩乃</t>
  </si>
  <si>
    <t>リスク区分案、示唆整理資料</t>
  </si>
  <si>
    <t>T18</t>
  </si>
  <si>
    <t>中間報告書確定</t>
  </si>
  <si>
    <t>中間報告書の最終確定</t>
  </si>
  <si>
    <t>T16, T17</t>
  </si>
  <si>
    <t>中間報告書</t>
  </si>
  <si>
    <t>T19</t>
  </si>
  <si>
    <t>最終報告書ドラフト作成</t>
  </si>
  <si>
    <t>最終報告書ドラフトを作成</t>
  </si>
  <si>
    <t>T17, T18</t>
  </si>
  <si>
    <t>最終報告書ドラフト</t>
  </si>
  <si>
    <t>MS6対応</t>
  </si>
  <si>
    <t>T20</t>
  </si>
  <si>
    <t>QAレビュー・整合性確認</t>
  </si>
  <si>
    <t>成果物整合性、監査証跡、版管理を確認</t>
  </si>
  <si>
    <t>岡田 佑樹</t>
  </si>
  <si>
    <t>QA指摘一覧</t>
  </si>
  <si>
    <t>T21</t>
  </si>
  <si>
    <t>6. 最終化・検収・納品</t>
  </si>
  <si>
    <t>05/22～05/28</t>
  </si>
  <si>
    <t>リスクバッファ期間での修正反映</t>
  </si>
  <si>
    <t>QA指摘修正、グラフ精査、追加整理を反映</t>
  </si>
  <si>
    <t>伊藤 翔太 / 山本 彩乃 / 藤田 彩</t>
  </si>
  <si>
    <t>最終版成果物一式</t>
  </si>
  <si>
    <t>リスクバッファ期間</t>
  </si>
  <si>
    <t>T22</t>
  </si>
  <si>
    <t>最終報告・検収会実施</t>
  </si>
  <si>
    <t>最終成果物説明、業務示唆確認、検収可否判定</t>
  </si>
  <si>
    <t>最終報告会議事録、検収判定記録</t>
  </si>
  <si>
    <t>MS7対応</t>
  </si>
  <si>
    <t>T23</t>
  </si>
  <si>
    <t>最終納品</t>
  </si>
  <si>
    <t>最終版成果物納品、版管理確定</t>
  </si>
  <si>
    <t>最終納品物</t>
  </si>
  <si>
    <t>MS8対応</t>
  </si>
  <si>
    <t>T24</t>
  </si>
  <si>
    <t>T25</t>
  </si>
  <si>
    <t>MS ID</t>
  </si>
  <si>
    <t>日付</t>
  </si>
  <si>
    <t>内容</t>
  </si>
  <si>
    <t>判定者</t>
  </si>
  <si>
    <t>関連タスク</t>
  </si>
  <si>
    <t>MS1</t>
  </si>
  <si>
    <t>キックオフ・前提確定</t>
  </si>
  <si>
    <t>体制、目的、loan_status定義、リーケージ懸念変数の扱い、週次運営を確定</t>
  </si>
  <si>
    <t>T01, T02</t>
  </si>
  <si>
    <t>CP1</t>
  </si>
  <si>
    <t>MS2</t>
  </si>
  <si>
    <t>データ理解完了</t>
  </si>
  <si>
    <t>データ読込、品質確認、型整備、変数定義表、初期論点整理を完了</t>
  </si>
  <si>
    <t>山本 彩乃 / 斎藤 悠斗</t>
  </si>
  <si>
    <t>T05～T08</t>
  </si>
  <si>
    <t>CP2</t>
  </si>
  <si>
    <t>MS3</t>
  </si>
  <si>
    <t>中間レビュー実施</t>
  </si>
  <si>
    <t>探索的分析、初期モデリング結果、評価指標、深掘り論点優先順位を合意</t>
  </si>
  <si>
    <t>CP3</t>
  </si>
  <si>
    <t>MS4</t>
  </si>
  <si>
    <t>変更管理チェックポイント</t>
  </si>
  <si>
    <t>中間レビュー後の追加要望を仕分けし、契約範囲内外と影響を確定</t>
  </si>
  <si>
    <t>CP4</t>
  </si>
  <si>
    <t>MS5</t>
  </si>
  <si>
    <t>モデル評価完了</t>
  </si>
  <si>
    <t>ベースラインモデル・説明性重視モデルの比較、リスク区分案、主要特徴量解釈を確定</t>
  </si>
  <si>
    <t>CP5</t>
  </si>
  <si>
    <t>MS6</t>
  </si>
  <si>
    <t>報告書ドラフト完了</t>
  </si>
  <si>
    <t>中間報告書確定、最終報告書ドラフト、QA指摘一覧、監査証跡を揃える</t>
  </si>
  <si>
    <t>藤田 彩 / 岡田 佑樹</t>
  </si>
  <si>
    <t>T19, T20</t>
  </si>
  <si>
    <t>CP6</t>
  </si>
  <si>
    <t>MS7</t>
  </si>
  <si>
    <t>最終報告・検収会</t>
  </si>
  <si>
    <t>CP7</t>
  </si>
  <si>
    <t>MS8</t>
  </si>
  <si>
    <t>最終納品完了</t>
  </si>
  <si>
    <t>最終版成果物納品、版管理確定、契約上の納品完了</t>
  </si>
  <si>
    <t>CP8</t>
  </si>
  <si>
    <t>MS9</t>
  </si>
  <si>
    <t>着手金支払期日</t>
  </si>
  <si>
    <t>着手金支払</t>
  </si>
  <si>
    <t>青葉与信マネジメント株式会社</t>
  </si>
  <si>
    <t>MS10</t>
  </si>
  <si>
    <t>検収金支払期日</t>
  </si>
  <si>
    <t>検収金支払</t>
  </si>
  <si>
    <t>種別</t>
  </si>
  <si>
    <t>回次/ID</t>
  </si>
  <si>
    <t>必須報告項目</t>
  </si>
  <si>
    <t>関連MS/タスク</t>
  </si>
  <si>
    <t>定例会議</t>
  </si>
  <si>
    <t>第1回</t>
  </si>
  <si>
    <t>キックオフ兼定例</t>
  </si>
  <si>
    <t>体制確定、前提合意、週次ルール確認</t>
  </si>
  <si>
    <t>MS1 / T01</t>
  </si>
  <si>
    <t>第2回</t>
  </si>
  <si>
    <t>週次定例</t>
  </si>
  <si>
    <t>品質確認状況、データ理解進捗</t>
  </si>
  <si>
    <t>T06, T07</t>
  </si>
  <si>
    <t>第3回</t>
  </si>
  <si>
    <t>中間レビュー論点共有、探索的分析進捗</t>
  </si>
  <si>
    <t>第4回</t>
  </si>
  <si>
    <t>中間レビュー会</t>
  </si>
  <si>
    <t>探索的分析結果、初期モデル結果、評価指標</t>
  </si>
  <si>
    <t>MS3 / T12</t>
  </si>
  <si>
    <t>第5回</t>
  </si>
  <si>
    <t>モデリング進捗、変更管理状況</t>
  </si>
  <si>
    <t>第6回</t>
  </si>
  <si>
    <t>モデル評価結果、リスク区分案</t>
  </si>
  <si>
    <t>MS5 / T16</t>
  </si>
  <si>
    <t>第7回</t>
  </si>
  <si>
    <t>報告書ドラフト状況、QA進捗</t>
  </si>
  <si>
    <t>第8回</t>
  </si>
  <si>
    <t>最終成果物説明、検収可否判定</t>
  </si>
  <si>
    <t>MS7 / T22</t>
  </si>
  <si>
    <t>チェックポイント</t>
  </si>
  <si>
    <t>前提確定完了</t>
  </si>
  <si>
    <t>loan_status定義確定、リーケージ判断</t>
  </si>
  <si>
    <t>再計画発動条件あり</t>
  </si>
  <si>
    <t>データ読込、品質、型整備、変数定義、初期分析</t>
  </si>
  <si>
    <t>中間レビュー完了</t>
  </si>
  <si>
    <t>分析結果合意、優先順位確定</t>
  </si>
  <si>
    <t>変更管理判定完了</t>
  </si>
  <si>
    <t>追加要望の仕分け完了</t>
  </si>
  <si>
    <t>ベースライン・説明性モデル比較完了</t>
  </si>
  <si>
    <t>QA完了</t>
  </si>
  <si>
    <t>QA指摘残件なし確認</t>
  </si>
  <si>
    <t>検収判定</t>
  </si>
  <si>
    <t>検収可否判定</t>
  </si>
  <si>
    <t>納品完了</t>
  </si>
  <si>
    <t>最終版納品、版管理確定</t>
  </si>
  <si>
    <t>支払</t>
  </si>
  <si>
    <t>着手金</t>
  </si>
  <si>
    <t>契約締結後5営業日以内</t>
  </si>
  <si>
    <t>MS9 / T24</t>
  </si>
  <si>
    <t>検収金</t>
  </si>
  <si>
    <t>検収完了後5営業日以内</t>
  </si>
  <si>
    <t>MS10 / T25</t>
  </si>
  <si>
    <t>中村 浩一 / 山本 彩乃</t>
    <phoneticPr fontId="3"/>
  </si>
  <si>
    <t>中村 浩一 / 藤田 彩</t>
    <phoneticPr fontId="3"/>
  </si>
  <si>
    <t>伊藤 翔太 / 中村 浩一</t>
    <phoneticPr fontId="3"/>
  </si>
  <si>
    <t>中村 浩一 / 伊藤 翔太</t>
    <phoneticPr fontId="3"/>
  </si>
  <si>
    <t>中村 浩一</t>
    <phoneticPr fontId="3"/>
  </si>
  <si>
    <t>完了</t>
    <phoneticPr fontId="3"/>
  </si>
  <si>
    <t>WBSタスク一覧</t>
    <phoneticPr fontId="3"/>
  </si>
  <si>
    <t>概要</t>
    <rPh sb="0" eb="2">
      <t>ガイヨウ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</si>
</sst>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游ゴシック"/>
      <family val="2"/>
      <scheme val="minor"/>
    </font>
    <font>
      <b/>
      <sz val="10"/>
      <color rgb="FFFFFFFF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4A4A4A"/>
        <bgColor indexed="64"/>
      </patternFill>
    </fill>
    <fill>
      <patternFill patternType="solid">
        <fgColor rgb="FF8B3A3A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4A4A4A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4A4A4A"/>
      </bottom>
      <diagonal/>
    </border>
    <border>
      <left style="thin">
        <color rgb="FF4A4A4A"/>
      </left>
      <right style="thin">
        <color rgb="FF999999"/>
      </right>
      <top style="thin">
        <color rgb="FF4A4A4A"/>
      </top>
      <bottom style="thin">
        <color rgb="FF999999"/>
      </bottom>
      <diagonal/>
    </border>
    <border>
      <left style="thin">
        <color rgb="FF4A4A4A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4A4A4A"/>
      </left>
      <right style="thin">
        <color rgb="FF999999"/>
      </right>
      <top style="thin">
        <color rgb="FF999999"/>
      </top>
      <bottom style="thin">
        <color rgb="FF4A4A4A"/>
      </bottom>
      <diagonal/>
    </border>
    <border>
      <left style="thin">
        <color rgb="FF999999"/>
      </left>
      <right style="thin">
        <color rgb="FF4A4A4A"/>
      </right>
      <top style="thin">
        <color rgb="FF4A4A4A"/>
      </top>
      <bottom style="thin">
        <color rgb="FF999999"/>
      </bottom>
      <diagonal/>
    </border>
    <border>
      <left style="thin">
        <color rgb="FF999999"/>
      </left>
      <right style="thin">
        <color rgb="FF4A4A4A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4A4A4A"/>
      </right>
      <top style="thin">
        <color rgb="FF999999"/>
      </top>
      <bottom style="thin">
        <color rgb="FF4A4A4A"/>
      </bottom>
      <diagonal/>
    </border>
    <border>
      <left style="thin">
        <color rgb="FF4A4A4A"/>
      </left>
      <right style="thin">
        <color rgb="FF999999"/>
      </right>
      <top style="thin">
        <color rgb="FF4A4A4A"/>
      </top>
      <bottom/>
      <diagonal/>
    </border>
    <border>
      <left style="thin">
        <color rgb="FF4A4A4A"/>
      </left>
      <right style="thin">
        <color rgb="FF999999"/>
      </right>
      <top/>
      <bottom style="thin">
        <color rgb="FF999999"/>
      </bottom>
      <diagonal/>
    </border>
    <border>
      <left style="thick">
        <color rgb="FF8B3A3A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4A4A4A"/>
      </left>
      <right style="thin">
        <color rgb="FF999999"/>
      </right>
      <top style="thin">
        <color rgb="FF999999"/>
      </top>
      <bottom/>
      <diagonal/>
    </border>
    <border>
      <left style="thick">
        <color rgb="FF8B3A3A"/>
      </left>
      <right style="thin">
        <color rgb="FF999999"/>
      </right>
      <top style="thin">
        <color rgb="FF999999"/>
      </top>
      <bottom/>
      <diagonal/>
    </border>
    <border>
      <left style="thin">
        <color rgb="FF4A4A4A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0" xfId="0" applyFont="1"/>
  </cellXfs>
  <cellStyles count="1">
    <cellStyle name="標準" xfId="0" builtinId="0"/>
  </cellStyles>
  <dxfs count="10">
    <dxf>
      <font>
        <color rgb="FF666666"/>
      </font>
      <fill>
        <patternFill patternType="solid">
          <fgColor indexed="64"/>
          <bgColor rgb="FFE8E8E8"/>
        </patternFill>
      </fill>
    </dxf>
    <dxf>
      <font>
        <color rgb="FF1B4A7A"/>
      </font>
      <fill>
        <patternFill patternType="solid">
          <fgColor indexed="64"/>
          <bgColor rgb="FFD5E8F5"/>
        </patternFill>
      </fill>
    </dxf>
    <dxf>
      <font>
        <color rgb="FF1B7A1B"/>
      </font>
      <fill>
        <patternFill patternType="solid">
          <fgColor indexed="64"/>
          <bgColor rgb="FFD5F5D5"/>
        </patternFill>
      </fill>
    </dxf>
    <dxf>
      <font>
        <color rgb="FF666666"/>
      </font>
      <fill>
        <patternFill patternType="solid">
          <fgColor indexed="64"/>
          <bgColor rgb="FFE8E8E8"/>
        </patternFill>
      </fill>
    </dxf>
    <dxf>
      <font>
        <color rgb="FF1B4A7A"/>
      </font>
      <fill>
        <patternFill patternType="solid">
          <fgColor indexed="64"/>
          <bgColor rgb="FFD5E8F5"/>
        </patternFill>
      </fill>
    </dxf>
    <dxf>
      <font>
        <color rgb="FF1B7A1B"/>
      </font>
      <fill>
        <patternFill patternType="solid">
          <fgColor indexed="64"/>
          <bgColor rgb="FFD5F5D5"/>
        </patternFill>
      </fill>
    </dxf>
    <dxf>
      <font>
        <color rgb="FF666666"/>
      </font>
      <fill>
        <patternFill patternType="solid">
          <fgColor indexed="64"/>
          <bgColor rgb="FFE8E8E8"/>
        </patternFill>
      </fill>
    </dxf>
    <dxf>
      <font>
        <color rgb="FF8B6914"/>
      </font>
      <fill>
        <patternFill patternType="solid">
          <fgColor indexed="64"/>
          <bgColor rgb="FFFFF3D5"/>
        </patternFill>
      </fill>
    </dxf>
    <dxf>
      <font>
        <color rgb="FF1B4A7A"/>
      </font>
      <fill>
        <patternFill patternType="solid">
          <fgColor indexed="64"/>
          <bgColor rgb="FFD5E8F5"/>
        </patternFill>
      </fill>
    </dxf>
    <dxf>
      <font>
        <color rgb="FF1B7A1B"/>
      </font>
      <fill>
        <patternFill patternType="solid">
          <fgColor indexed="64"/>
          <bgColor rgb="FFD5F5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BD3506-ABC4-425C-B981-7C645D6F3340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ca3a35bd-48e4-4ef4-894b-4ce5e7d5cad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pane ySplit="2" topLeftCell="A3" activePane="bottomLeft" state="frozen"/>
      <selection pane="bottomLeft" activeCell="G22" sqref="G22"/>
    </sheetView>
  </sheetViews>
  <sheetFormatPr defaultRowHeight="13" x14ac:dyDescent="0.2"/>
  <cols>
    <col min="1" max="1" width="10" style="31" customWidth="1"/>
    <col min="2" max="2" width="20.25" style="31" bestFit="1" customWidth="1"/>
    <col min="3" max="3" width="15.5" style="31" bestFit="1" customWidth="1"/>
    <col min="4" max="4" width="33.33203125" style="31" customWidth="1"/>
    <col min="5" max="5" width="41.6640625" style="31" customWidth="1"/>
    <col min="6" max="6" width="30" style="31" customWidth="1"/>
    <col min="7" max="8" width="13.75" style="31" bestFit="1" customWidth="1"/>
    <col min="9" max="9" width="8" style="31" bestFit="1" customWidth="1"/>
    <col min="10" max="10" width="10" style="31" bestFit="1" customWidth="1"/>
    <col min="11" max="11" width="33.33203125" style="31" customWidth="1"/>
    <col min="12" max="12" width="13.33203125" style="31" customWidth="1"/>
    <col min="13" max="13" width="16.6640625" style="31" customWidth="1"/>
    <col min="14" max="14" width="15.5" style="31" bestFit="1" customWidth="1"/>
    <col min="15" max="16384" width="8.6640625" style="31"/>
  </cols>
  <sheetData>
    <row r="1" spans="1:14" x14ac:dyDescent="0.2">
      <c r="A1" s="31" t="s">
        <v>253</v>
      </c>
    </row>
    <row r="2" spans="1:14" ht="30" customHeight="1" x14ac:dyDescent="0.2">
      <c r="A2" s="2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7" t="s">
        <v>13</v>
      </c>
    </row>
    <row r="3" spans="1:14" ht="22" customHeight="1" x14ac:dyDescent="0.2">
      <c r="A3" s="24" t="s">
        <v>14</v>
      </c>
      <c r="B3" s="21" t="s">
        <v>15</v>
      </c>
      <c r="C3" s="17" t="s">
        <v>16</v>
      </c>
      <c r="D3" s="17" t="s">
        <v>17</v>
      </c>
      <c r="E3" s="17" t="s">
        <v>18</v>
      </c>
      <c r="F3" s="17" t="s">
        <v>19</v>
      </c>
      <c r="G3" s="18">
        <v>45756</v>
      </c>
      <c r="H3" s="18">
        <v>45756</v>
      </c>
      <c r="I3" s="19">
        <f t="shared" ref="I3:I25" si="0">IF(G3="","",NETWORKDAYS(G3,H3))</f>
        <v>1</v>
      </c>
      <c r="J3" s="17" t="s">
        <v>20</v>
      </c>
      <c r="K3" s="17" t="s">
        <v>21</v>
      </c>
      <c r="L3" s="19" t="s">
        <v>252</v>
      </c>
      <c r="M3" s="19" t="s">
        <v>22</v>
      </c>
      <c r="N3" s="20" t="s">
        <v>23</v>
      </c>
    </row>
    <row r="4" spans="1:14" ht="22" customHeight="1" x14ac:dyDescent="0.2">
      <c r="A4" s="23" t="s">
        <v>24</v>
      </c>
      <c r="B4" s="2" t="s">
        <v>15</v>
      </c>
      <c r="C4" s="2" t="s">
        <v>16</v>
      </c>
      <c r="D4" s="2" t="s">
        <v>25</v>
      </c>
      <c r="E4" s="2" t="s">
        <v>26</v>
      </c>
      <c r="F4" s="2" t="s">
        <v>247</v>
      </c>
      <c r="G4" s="12">
        <v>45756</v>
      </c>
      <c r="H4" s="12">
        <v>45756</v>
      </c>
      <c r="I4" s="13">
        <f t="shared" si="0"/>
        <v>1</v>
      </c>
      <c r="J4" s="2" t="s">
        <v>14</v>
      </c>
      <c r="K4" s="2" t="s">
        <v>27</v>
      </c>
      <c r="L4" s="13" t="s">
        <v>252</v>
      </c>
      <c r="M4" s="13"/>
      <c r="N4" s="8" t="s">
        <v>28</v>
      </c>
    </row>
    <row r="5" spans="1:14" ht="22" customHeight="1" x14ac:dyDescent="0.2">
      <c r="A5" s="16" t="s">
        <v>29</v>
      </c>
      <c r="B5" s="17" t="s">
        <v>15</v>
      </c>
      <c r="C5" s="17" t="s">
        <v>16</v>
      </c>
      <c r="D5" s="17" t="s">
        <v>30</v>
      </c>
      <c r="E5" s="17" t="s">
        <v>31</v>
      </c>
      <c r="F5" s="17" t="s">
        <v>248</v>
      </c>
      <c r="G5" s="18">
        <v>45756</v>
      </c>
      <c r="H5" s="18">
        <v>45757</v>
      </c>
      <c r="I5" s="19">
        <f t="shared" si="0"/>
        <v>2</v>
      </c>
      <c r="J5" s="17" t="s">
        <v>14</v>
      </c>
      <c r="K5" s="17" t="s">
        <v>32</v>
      </c>
      <c r="L5" s="19" t="s">
        <v>252</v>
      </c>
      <c r="M5" s="19"/>
      <c r="N5" s="20" t="s">
        <v>28</v>
      </c>
    </row>
    <row r="6" spans="1:14" ht="22" customHeight="1" x14ac:dyDescent="0.2">
      <c r="A6" s="25" t="s">
        <v>33</v>
      </c>
      <c r="B6" s="2" t="s">
        <v>15</v>
      </c>
      <c r="C6" s="2" t="s">
        <v>16</v>
      </c>
      <c r="D6" s="2" t="s">
        <v>34</v>
      </c>
      <c r="E6" s="2" t="s">
        <v>35</v>
      </c>
      <c r="F6" s="2" t="s">
        <v>19</v>
      </c>
      <c r="G6" s="12">
        <v>45756</v>
      </c>
      <c r="H6" s="12">
        <v>45757</v>
      </c>
      <c r="I6" s="13">
        <f t="shared" si="0"/>
        <v>2</v>
      </c>
      <c r="J6" s="2" t="s">
        <v>14</v>
      </c>
      <c r="K6" s="2" t="s">
        <v>36</v>
      </c>
      <c r="L6" s="13" t="s">
        <v>252</v>
      </c>
      <c r="M6" s="13"/>
      <c r="N6" s="8"/>
    </row>
    <row r="7" spans="1:14" ht="22" customHeight="1" x14ac:dyDescent="0.2">
      <c r="A7" s="26" t="s">
        <v>37</v>
      </c>
      <c r="B7" s="21" t="s">
        <v>38</v>
      </c>
      <c r="C7" s="17" t="s">
        <v>39</v>
      </c>
      <c r="D7" s="17" t="s">
        <v>40</v>
      </c>
      <c r="E7" s="17" t="s">
        <v>41</v>
      </c>
      <c r="F7" s="17" t="s">
        <v>42</v>
      </c>
      <c r="G7" s="18">
        <v>45757</v>
      </c>
      <c r="H7" s="18">
        <v>45757</v>
      </c>
      <c r="I7" s="19">
        <f t="shared" si="0"/>
        <v>1</v>
      </c>
      <c r="J7" s="17" t="s">
        <v>14</v>
      </c>
      <c r="K7" s="17" t="s">
        <v>43</v>
      </c>
      <c r="L7" s="19" t="s">
        <v>252</v>
      </c>
      <c r="M7" s="19" t="s">
        <v>22</v>
      </c>
      <c r="N7" s="20"/>
    </row>
    <row r="8" spans="1:14" ht="22" customHeight="1" x14ac:dyDescent="0.2">
      <c r="A8" s="27" t="s">
        <v>44</v>
      </c>
      <c r="B8" s="1" t="s">
        <v>38</v>
      </c>
      <c r="C8" s="2" t="s">
        <v>39</v>
      </c>
      <c r="D8" s="2" t="s">
        <v>45</v>
      </c>
      <c r="E8" s="2" t="s">
        <v>46</v>
      </c>
      <c r="F8" s="2" t="s">
        <v>42</v>
      </c>
      <c r="G8" s="12">
        <v>45757</v>
      </c>
      <c r="H8" s="12">
        <v>45762</v>
      </c>
      <c r="I8" s="13">
        <f t="shared" si="0"/>
        <v>4</v>
      </c>
      <c r="J8" s="2" t="s">
        <v>37</v>
      </c>
      <c r="K8" s="2" t="s">
        <v>47</v>
      </c>
      <c r="L8" s="13" t="s">
        <v>252</v>
      </c>
      <c r="M8" s="13" t="s">
        <v>22</v>
      </c>
      <c r="N8" s="8"/>
    </row>
    <row r="9" spans="1:14" ht="22" customHeight="1" x14ac:dyDescent="0.2">
      <c r="A9" s="28" t="s">
        <v>48</v>
      </c>
      <c r="B9" s="17" t="s">
        <v>38</v>
      </c>
      <c r="C9" s="17" t="s">
        <v>39</v>
      </c>
      <c r="D9" s="17" t="s">
        <v>49</v>
      </c>
      <c r="E9" s="17" t="s">
        <v>50</v>
      </c>
      <c r="F9" s="17" t="s">
        <v>51</v>
      </c>
      <c r="G9" s="18">
        <v>45761</v>
      </c>
      <c r="H9" s="18">
        <v>45763</v>
      </c>
      <c r="I9" s="19">
        <f t="shared" si="0"/>
        <v>3</v>
      </c>
      <c r="J9" s="17" t="s">
        <v>44</v>
      </c>
      <c r="K9" s="17" t="s">
        <v>52</v>
      </c>
      <c r="L9" s="19" t="s">
        <v>252</v>
      </c>
      <c r="M9" s="19"/>
      <c r="N9" s="20"/>
    </row>
    <row r="10" spans="1:14" ht="22" customHeight="1" x14ac:dyDescent="0.2">
      <c r="A10" s="29" t="s">
        <v>53</v>
      </c>
      <c r="B10" s="1" t="s">
        <v>38</v>
      </c>
      <c r="C10" s="2" t="s">
        <v>39</v>
      </c>
      <c r="D10" s="2" t="s">
        <v>54</v>
      </c>
      <c r="E10" s="2" t="s">
        <v>55</v>
      </c>
      <c r="F10" s="2" t="s">
        <v>56</v>
      </c>
      <c r="G10" s="12">
        <v>45761</v>
      </c>
      <c r="H10" s="12">
        <v>45765</v>
      </c>
      <c r="I10" s="13">
        <f t="shared" si="0"/>
        <v>5</v>
      </c>
      <c r="J10" s="2" t="s">
        <v>44</v>
      </c>
      <c r="K10" s="2" t="s">
        <v>57</v>
      </c>
      <c r="L10" s="13" t="s">
        <v>252</v>
      </c>
      <c r="M10" s="13" t="s">
        <v>22</v>
      </c>
      <c r="N10" s="8" t="s">
        <v>58</v>
      </c>
    </row>
    <row r="11" spans="1:14" ht="22" customHeight="1" x14ac:dyDescent="0.2">
      <c r="A11" s="24" t="s">
        <v>59</v>
      </c>
      <c r="B11" s="21" t="s">
        <v>60</v>
      </c>
      <c r="C11" s="17" t="s">
        <v>61</v>
      </c>
      <c r="D11" s="17" t="s">
        <v>62</v>
      </c>
      <c r="E11" s="17" t="s">
        <v>63</v>
      </c>
      <c r="F11" s="17" t="s">
        <v>56</v>
      </c>
      <c r="G11" s="18">
        <v>45764</v>
      </c>
      <c r="H11" s="18">
        <v>45769</v>
      </c>
      <c r="I11" s="19">
        <f t="shared" si="0"/>
        <v>4</v>
      </c>
      <c r="J11" s="17" t="s">
        <v>53</v>
      </c>
      <c r="K11" s="17" t="s">
        <v>64</v>
      </c>
      <c r="L11" s="19" t="s">
        <v>252</v>
      </c>
      <c r="M11" s="19" t="s">
        <v>22</v>
      </c>
      <c r="N11" s="20"/>
    </row>
    <row r="12" spans="1:14" ht="22" customHeight="1" x14ac:dyDescent="0.2">
      <c r="A12" s="30" t="s">
        <v>65</v>
      </c>
      <c r="B12" s="2" t="s">
        <v>60</v>
      </c>
      <c r="C12" s="2" t="s">
        <v>61</v>
      </c>
      <c r="D12" s="2" t="s">
        <v>66</v>
      </c>
      <c r="E12" s="2" t="s">
        <v>67</v>
      </c>
      <c r="F12" s="2" t="s">
        <v>68</v>
      </c>
      <c r="G12" s="12">
        <v>45768</v>
      </c>
      <c r="H12" s="12">
        <v>45772</v>
      </c>
      <c r="I12" s="13">
        <f t="shared" si="0"/>
        <v>5</v>
      </c>
      <c r="J12" s="2" t="s">
        <v>69</v>
      </c>
      <c r="K12" s="2" t="s">
        <v>70</v>
      </c>
      <c r="L12" s="13" t="s">
        <v>252</v>
      </c>
      <c r="M12" s="13"/>
      <c r="N12" s="8"/>
    </row>
    <row r="13" spans="1:14" ht="22" customHeight="1" x14ac:dyDescent="0.2">
      <c r="A13" s="26" t="s">
        <v>71</v>
      </c>
      <c r="B13" s="21" t="s">
        <v>60</v>
      </c>
      <c r="C13" s="17" t="s">
        <v>61</v>
      </c>
      <c r="D13" s="17" t="s">
        <v>72</v>
      </c>
      <c r="E13" s="17" t="s">
        <v>73</v>
      </c>
      <c r="F13" s="17" t="s">
        <v>74</v>
      </c>
      <c r="G13" s="18">
        <v>45771</v>
      </c>
      <c r="H13" s="18">
        <v>45775</v>
      </c>
      <c r="I13" s="19">
        <f t="shared" si="0"/>
        <v>3</v>
      </c>
      <c r="J13" s="17" t="s">
        <v>75</v>
      </c>
      <c r="K13" s="17" t="s">
        <v>76</v>
      </c>
      <c r="L13" s="19" t="s">
        <v>252</v>
      </c>
      <c r="M13" s="19" t="s">
        <v>22</v>
      </c>
      <c r="N13" s="20"/>
    </row>
    <row r="14" spans="1:14" ht="22" customHeight="1" x14ac:dyDescent="0.2">
      <c r="A14" s="27" t="s">
        <v>77</v>
      </c>
      <c r="B14" s="1" t="s">
        <v>60</v>
      </c>
      <c r="C14" s="2" t="s">
        <v>61</v>
      </c>
      <c r="D14" s="2" t="s">
        <v>78</v>
      </c>
      <c r="E14" s="2" t="s">
        <v>79</v>
      </c>
      <c r="F14" s="2" t="s">
        <v>249</v>
      </c>
      <c r="G14" s="12">
        <v>45776</v>
      </c>
      <c r="H14" s="12">
        <v>45776</v>
      </c>
      <c r="I14" s="13">
        <f t="shared" si="0"/>
        <v>1</v>
      </c>
      <c r="J14" s="2" t="s">
        <v>71</v>
      </c>
      <c r="K14" s="2" t="s">
        <v>80</v>
      </c>
      <c r="L14" s="13" t="s">
        <v>252</v>
      </c>
      <c r="M14" s="13" t="s">
        <v>22</v>
      </c>
      <c r="N14" s="8" t="s">
        <v>81</v>
      </c>
    </row>
    <row r="15" spans="1:14" ht="22" customHeight="1" x14ac:dyDescent="0.2">
      <c r="A15" s="28" t="s">
        <v>82</v>
      </c>
      <c r="B15" s="17" t="s">
        <v>83</v>
      </c>
      <c r="C15" s="17" t="s">
        <v>84</v>
      </c>
      <c r="D15" s="17" t="s">
        <v>85</v>
      </c>
      <c r="E15" s="17" t="s">
        <v>86</v>
      </c>
      <c r="F15" s="17" t="s">
        <v>19</v>
      </c>
      <c r="G15" s="18">
        <v>45777</v>
      </c>
      <c r="H15" s="18">
        <v>45778</v>
      </c>
      <c r="I15" s="19">
        <f t="shared" si="0"/>
        <v>2</v>
      </c>
      <c r="J15" s="17" t="s">
        <v>77</v>
      </c>
      <c r="K15" s="17" t="s">
        <v>87</v>
      </c>
      <c r="L15" s="19" t="s">
        <v>252</v>
      </c>
      <c r="M15" s="19"/>
      <c r="N15" s="20" t="s">
        <v>88</v>
      </c>
    </row>
    <row r="16" spans="1:14" ht="22" customHeight="1" x14ac:dyDescent="0.2">
      <c r="A16" s="27" t="s">
        <v>89</v>
      </c>
      <c r="B16" s="1" t="s">
        <v>83</v>
      </c>
      <c r="C16" s="2" t="s">
        <v>84</v>
      </c>
      <c r="D16" s="2" t="s">
        <v>90</v>
      </c>
      <c r="E16" s="2" t="s">
        <v>91</v>
      </c>
      <c r="F16" s="2" t="s">
        <v>56</v>
      </c>
      <c r="G16" s="12">
        <v>45777</v>
      </c>
      <c r="H16" s="12">
        <v>45784</v>
      </c>
      <c r="I16" s="13">
        <f t="shared" si="0"/>
        <v>6</v>
      </c>
      <c r="J16" s="2" t="s">
        <v>77</v>
      </c>
      <c r="K16" s="2" t="s">
        <v>92</v>
      </c>
      <c r="L16" s="13" t="s">
        <v>252</v>
      </c>
      <c r="M16" s="13" t="s">
        <v>22</v>
      </c>
      <c r="N16" s="8"/>
    </row>
    <row r="17" spans="1:14" ht="22" customHeight="1" x14ac:dyDescent="0.2">
      <c r="A17" s="28" t="s">
        <v>93</v>
      </c>
      <c r="B17" s="17" t="s">
        <v>83</v>
      </c>
      <c r="C17" s="17" t="s">
        <v>84</v>
      </c>
      <c r="D17" s="17" t="s">
        <v>94</v>
      </c>
      <c r="E17" s="17" t="s">
        <v>95</v>
      </c>
      <c r="F17" s="17" t="s">
        <v>56</v>
      </c>
      <c r="G17" s="18">
        <v>45779</v>
      </c>
      <c r="H17" s="18">
        <v>45786</v>
      </c>
      <c r="I17" s="19">
        <f t="shared" si="0"/>
        <v>6</v>
      </c>
      <c r="J17" s="17" t="s">
        <v>96</v>
      </c>
      <c r="K17" s="17" t="s">
        <v>97</v>
      </c>
      <c r="L17" s="19" t="s">
        <v>252</v>
      </c>
      <c r="M17" s="19"/>
      <c r="N17" s="20"/>
    </row>
    <row r="18" spans="1:14" ht="22" customHeight="1" x14ac:dyDescent="0.2">
      <c r="A18" s="29" t="s">
        <v>98</v>
      </c>
      <c r="B18" s="1" t="s">
        <v>83</v>
      </c>
      <c r="C18" s="2" t="s">
        <v>84</v>
      </c>
      <c r="D18" s="2" t="s">
        <v>99</v>
      </c>
      <c r="E18" s="2" t="s">
        <v>100</v>
      </c>
      <c r="F18" s="2" t="s">
        <v>56</v>
      </c>
      <c r="G18" s="12">
        <v>45785</v>
      </c>
      <c r="H18" s="12">
        <v>45790</v>
      </c>
      <c r="I18" s="13">
        <f t="shared" si="0"/>
        <v>4</v>
      </c>
      <c r="J18" s="2" t="s">
        <v>101</v>
      </c>
      <c r="K18" s="2" t="s">
        <v>102</v>
      </c>
      <c r="L18" s="13" t="s">
        <v>252</v>
      </c>
      <c r="M18" s="13" t="s">
        <v>22</v>
      </c>
      <c r="N18" s="8" t="s">
        <v>103</v>
      </c>
    </row>
    <row r="19" spans="1:14" ht="22" customHeight="1" x14ac:dyDescent="0.2">
      <c r="A19" s="24" t="s">
        <v>104</v>
      </c>
      <c r="B19" s="21" t="s">
        <v>105</v>
      </c>
      <c r="C19" s="17" t="s">
        <v>106</v>
      </c>
      <c r="D19" s="17" t="s">
        <v>107</v>
      </c>
      <c r="E19" s="17" t="s">
        <v>108</v>
      </c>
      <c r="F19" s="17" t="s">
        <v>109</v>
      </c>
      <c r="G19" s="18">
        <v>45789</v>
      </c>
      <c r="H19" s="18">
        <v>45792</v>
      </c>
      <c r="I19" s="19">
        <f t="shared" si="0"/>
        <v>4</v>
      </c>
      <c r="J19" s="17" t="s">
        <v>98</v>
      </c>
      <c r="K19" s="17" t="s">
        <v>110</v>
      </c>
      <c r="L19" s="19" t="s">
        <v>252</v>
      </c>
      <c r="M19" s="19" t="s">
        <v>22</v>
      </c>
      <c r="N19" s="20"/>
    </row>
    <row r="20" spans="1:14" ht="22" customHeight="1" x14ac:dyDescent="0.2">
      <c r="A20" s="30" t="s">
        <v>111</v>
      </c>
      <c r="B20" s="2" t="s">
        <v>105</v>
      </c>
      <c r="C20" s="2" t="s">
        <v>106</v>
      </c>
      <c r="D20" s="2" t="s">
        <v>112</v>
      </c>
      <c r="E20" s="2" t="s">
        <v>113</v>
      </c>
      <c r="F20" s="2" t="s">
        <v>74</v>
      </c>
      <c r="G20" s="12">
        <v>45791</v>
      </c>
      <c r="H20" s="12">
        <v>45793</v>
      </c>
      <c r="I20" s="13">
        <f t="shared" si="0"/>
        <v>3</v>
      </c>
      <c r="J20" s="2" t="s">
        <v>114</v>
      </c>
      <c r="K20" s="2" t="s">
        <v>115</v>
      </c>
      <c r="L20" s="13" t="s">
        <v>252</v>
      </c>
      <c r="M20" s="13"/>
      <c r="N20" s="8"/>
    </row>
    <row r="21" spans="1:14" ht="22" customHeight="1" x14ac:dyDescent="0.2">
      <c r="A21" s="26" t="s">
        <v>116</v>
      </c>
      <c r="B21" s="21" t="s">
        <v>105</v>
      </c>
      <c r="C21" s="17" t="s">
        <v>106</v>
      </c>
      <c r="D21" s="17" t="s">
        <v>117</v>
      </c>
      <c r="E21" s="17" t="s">
        <v>118</v>
      </c>
      <c r="F21" s="17" t="s">
        <v>109</v>
      </c>
      <c r="G21" s="18">
        <v>45792</v>
      </c>
      <c r="H21" s="18">
        <v>45798</v>
      </c>
      <c r="I21" s="19">
        <f t="shared" si="0"/>
        <v>5</v>
      </c>
      <c r="J21" s="17" t="s">
        <v>119</v>
      </c>
      <c r="K21" s="17" t="s">
        <v>120</v>
      </c>
      <c r="L21" s="19" t="s">
        <v>252</v>
      </c>
      <c r="M21" s="19" t="s">
        <v>22</v>
      </c>
      <c r="N21" s="20" t="s">
        <v>121</v>
      </c>
    </row>
    <row r="22" spans="1:14" ht="22" customHeight="1" x14ac:dyDescent="0.2">
      <c r="A22" s="29" t="s">
        <v>122</v>
      </c>
      <c r="B22" s="1" t="s">
        <v>105</v>
      </c>
      <c r="C22" s="2" t="s">
        <v>106</v>
      </c>
      <c r="D22" s="2" t="s">
        <v>123</v>
      </c>
      <c r="E22" s="2" t="s">
        <v>124</v>
      </c>
      <c r="F22" s="2" t="s">
        <v>125</v>
      </c>
      <c r="G22" s="12">
        <v>45796</v>
      </c>
      <c r="H22" s="12">
        <v>45798</v>
      </c>
      <c r="I22" s="13">
        <f t="shared" si="0"/>
        <v>3</v>
      </c>
      <c r="J22" s="2" t="s">
        <v>116</v>
      </c>
      <c r="K22" s="2" t="s">
        <v>126</v>
      </c>
      <c r="L22" s="13" t="s">
        <v>252</v>
      </c>
      <c r="M22" s="13" t="s">
        <v>22</v>
      </c>
      <c r="N22" s="8"/>
    </row>
    <row r="23" spans="1:14" ht="22" customHeight="1" x14ac:dyDescent="0.2">
      <c r="A23" s="26" t="s">
        <v>127</v>
      </c>
      <c r="B23" s="21" t="s">
        <v>128</v>
      </c>
      <c r="C23" s="17" t="s">
        <v>129</v>
      </c>
      <c r="D23" s="17" t="s">
        <v>130</v>
      </c>
      <c r="E23" s="17" t="s">
        <v>131</v>
      </c>
      <c r="F23" s="17" t="s">
        <v>132</v>
      </c>
      <c r="G23" s="18">
        <v>45799</v>
      </c>
      <c r="H23" s="18">
        <v>45803</v>
      </c>
      <c r="I23" s="19">
        <f t="shared" si="0"/>
        <v>3</v>
      </c>
      <c r="J23" s="17" t="s">
        <v>122</v>
      </c>
      <c r="K23" s="17" t="s">
        <v>133</v>
      </c>
      <c r="L23" s="19" t="s">
        <v>252</v>
      </c>
      <c r="M23" s="19" t="s">
        <v>22</v>
      </c>
      <c r="N23" s="20" t="s">
        <v>134</v>
      </c>
    </row>
    <row r="24" spans="1:14" ht="22" customHeight="1" x14ac:dyDescent="0.2">
      <c r="A24" s="29" t="s">
        <v>135</v>
      </c>
      <c r="B24" s="1" t="s">
        <v>128</v>
      </c>
      <c r="C24" s="2" t="s">
        <v>129</v>
      </c>
      <c r="D24" s="2" t="s">
        <v>136</v>
      </c>
      <c r="E24" s="2" t="s">
        <v>137</v>
      </c>
      <c r="F24" s="2" t="s">
        <v>249</v>
      </c>
      <c r="G24" s="12">
        <v>45804</v>
      </c>
      <c r="H24" s="12">
        <v>45804</v>
      </c>
      <c r="I24" s="13">
        <f t="shared" si="0"/>
        <v>1</v>
      </c>
      <c r="J24" s="2" t="s">
        <v>127</v>
      </c>
      <c r="K24" s="2" t="s">
        <v>138</v>
      </c>
      <c r="L24" s="13" t="s">
        <v>252</v>
      </c>
      <c r="M24" s="13" t="s">
        <v>22</v>
      </c>
      <c r="N24" s="8" t="s">
        <v>139</v>
      </c>
    </row>
    <row r="25" spans="1:14" ht="22" customHeight="1" x14ac:dyDescent="0.2">
      <c r="A25" s="24" t="s">
        <v>140</v>
      </c>
      <c r="B25" s="21" t="s">
        <v>128</v>
      </c>
      <c r="C25" s="17" t="s">
        <v>129</v>
      </c>
      <c r="D25" s="17" t="s">
        <v>141</v>
      </c>
      <c r="E25" s="17" t="s">
        <v>142</v>
      </c>
      <c r="F25" s="17" t="s">
        <v>19</v>
      </c>
      <c r="G25" s="18">
        <v>45805</v>
      </c>
      <c r="H25" s="18">
        <v>45805</v>
      </c>
      <c r="I25" s="19">
        <f t="shared" si="0"/>
        <v>1</v>
      </c>
      <c r="J25" s="17" t="s">
        <v>135</v>
      </c>
      <c r="K25" s="17" t="s">
        <v>143</v>
      </c>
      <c r="L25" s="19" t="s">
        <v>252</v>
      </c>
      <c r="M25" s="19" t="s">
        <v>22</v>
      </c>
      <c r="N25" s="20" t="s">
        <v>144</v>
      </c>
    </row>
  </sheetData>
  <autoFilter ref="A2:N25" xr:uid="{00000000-0001-0000-0000-000000000000}"/>
  <phoneticPr fontId="3"/>
  <conditionalFormatting sqref="L3:L25">
    <cfRule type="containsText" dxfId="9" priority="7" operator="containsText" text="完了">
      <formula>NOT(ISERROR(SEARCH("完了",L3)))</formula>
    </cfRule>
    <cfRule type="containsText" dxfId="8" priority="8" operator="containsText" text="進行中">
      <formula>NOT(ISERROR(SEARCH("進行中",L3)))</formula>
    </cfRule>
    <cfRule type="containsText" dxfId="7" priority="9" operator="containsText" text="レビュー中">
      <formula>NOT(ISERROR(SEARCH("レビュー中",L3)))</formula>
    </cfRule>
    <cfRule type="containsText" dxfId="6" priority="10" operator="containsText" text="予定">
      <formula>NOT(ISERROR(SEARCH("予定",L3)))</formula>
    </cfRule>
  </conditionalFormatting>
  <dataValidations count="1">
    <dataValidation type="list" allowBlank="1" showInputMessage="1" showErrorMessage="1" promptTitle="ステータス" prompt="タスクの状態を選択してください" sqref="L3:L25" xr:uid="{6EADB0BE-B133-4B33-ABBB-0EC83737C521}">
      <formula1>"予定,進行中,レビュー中,完了"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66EA-1F6A-4008-9B97-265BEB3F9DB7}">
  <dimension ref="A1:H11"/>
  <sheetViews>
    <sheetView workbookViewId="0">
      <selection activeCell="F3" sqref="F3"/>
    </sheetView>
  </sheetViews>
  <sheetFormatPr defaultRowHeight="18" x14ac:dyDescent="0.55000000000000004"/>
  <cols>
    <col min="1" max="1" width="7" bestFit="1" customWidth="1"/>
    <col min="2" max="2" width="20.33203125" bestFit="1" customWidth="1"/>
    <col min="3" max="3" width="13.75" bestFit="1" customWidth="1"/>
    <col min="4" max="4" width="66.4140625" bestFit="1" customWidth="1"/>
    <col min="5" max="5" width="24.75" bestFit="1" customWidth="1"/>
    <col min="6" max="6" width="10.6640625" bestFit="1" customWidth="1"/>
    <col min="7" max="7" width="9.25" bestFit="1" customWidth="1"/>
    <col min="8" max="8" width="4.6640625" bestFit="1" customWidth="1"/>
  </cols>
  <sheetData>
    <row r="1" spans="1:8" x14ac:dyDescent="0.55000000000000004">
      <c r="A1" s="6" t="s">
        <v>147</v>
      </c>
      <c r="B1" s="3" t="s">
        <v>254</v>
      </c>
      <c r="C1" s="3" t="s">
        <v>148</v>
      </c>
      <c r="D1" s="3" t="s">
        <v>149</v>
      </c>
      <c r="E1" s="3" t="s">
        <v>150</v>
      </c>
      <c r="F1" s="3" t="s">
        <v>151</v>
      </c>
      <c r="G1" s="4" t="s">
        <v>11</v>
      </c>
      <c r="H1" s="7" t="s">
        <v>13</v>
      </c>
    </row>
    <row r="2" spans="1:8" x14ac:dyDescent="0.55000000000000004">
      <c r="A2" s="16" t="s">
        <v>152</v>
      </c>
      <c r="B2" s="17" t="s">
        <v>153</v>
      </c>
      <c r="C2" s="18">
        <v>45756</v>
      </c>
      <c r="D2" s="17" t="s">
        <v>154</v>
      </c>
      <c r="E2" s="17" t="s">
        <v>250</v>
      </c>
      <c r="F2" s="17" t="s">
        <v>155</v>
      </c>
      <c r="G2" s="19" t="s">
        <v>252</v>
      </c>
      <c r="H2" s="20"/>
    </row>
    <row r="3" spans="1:8" x14ac:dyDescent="0.55000000000000004">
      <c r="A3" s="10" t="s">
        <v>157</v>
      </c>
      <c r="B3" s="2" t="s">
        <v>158</v>
      </c>
      <c r="C3" s="12">
        <v>45765</v>
      </c>
      <c r="D3" s="2" t="s">
        <v>159</v>
      </c>
      <c r="E3" s="2" t="s">
        <v>160</v>
      </c>
      <c r="F3" s="2" t="s">
        <v>161</v>
      </c>
      <c r="G3" s="13" t="s">
        <v>252</v>
      </c>
      <c r="H3" s="8"/>
    </row>
    <row r="4" spans="1:8" x14ac:dyDescent="0.55000000000000004">
      <c r="A4" s="16" t="s">
        <v>163</v>
      </c>
      <c r="B4" s="17" t="s">
        <v>164</v>
      </c>
      <c r="C4" s="18">
        <v>45776</v>
      </c>
      <c r="D4" s="17" t="s">
        <v>165</v>
      </c>
      <c r="E4" s="17" t="s">
        <v>250</v>
      </c>
      <c r="F4" s="17" t="s">
        <v>77</v>
      </c>
      <c r="G4" s="19" t="s">
        <v>252</v>
      </c>
      <c r="H4" s="20"/>
    </row>
    <row r="5" spans="1:8" x14ac:dyDescent="0.55000000000000004">
      <c r="A5" s="10" t="s">
        <v>167</v>
      </c>
      <c r="B5" s="2" t="s">
        <v>168</v>
      </c>
      <c r="C5" s="12">
        <v>45778</v>
      </c>
      <c r="D5" s="2" t="s">
        <v>169</v>
      </c>
      <c r="E5" s="2" t="s">
        <v>249</v>
      </c>
      <c r="F5" s="2" t="s">
        <v>82</v>
      </c>
      <c r="G5" s="13" t="s">
        <v>252</v>
      </c>
      <c r="H5" s="8"/>
    </row>
    <row r="6" spans="1:8" x14ac:dyDescent="0.55000000000000004">
      <c r="A6" s="16" t="s">
        <v>171</v>
      </c>
      <c r="B6" s="17" t="s">
        <v>172</v>
      </c>
      <c r="C6" s="18">
        <v>45790</v>
      </c>
      <c r="D6" s="17" t="s">
        <v>173</v>
      </c>
      <c r="E6" s="17" t="s">
        <v>56</v>
      </c>
      <c r="F6" s="17" t="s">
        <v>98</v>
      </c>
      <c r="G6" s="19" t="s">
        <v>252</v>
      </c>
      <c r="H6" s="20"/>
    </row>
    <row r="7" spans="1:8" x14ac:dyDescent="0.55000000000000004">
      <c r="A7" s="10" t="s">
        <v>175</v>
      </c>
      <c r="B7" s="2" t="s">
        <v>176</v>
      </c>
      <c r="C7" s="12">
        <v>45798</v>
      </c>
      <c r="D7" s="2" t="s">
        <v>177</v>
      </c>
      <c r="E7" s="2" t="s">
        <v>178</v>
      </c>
      <c r="F7" s="2" t="s">
        <v>179</v>
      </c>
      <c r="G7" s="13" t="s">
        <v>252</v>
      </c>
      <c r="H7" s="8"/>
    </row>
    <row r="8" spans="1:8" x14ac:dyDescent="0.55000000000000004">
      <c r="A8" s="16" t="s">
        <v>181</v>
      </c>
      <c r="B8" s="17" t="s">
        <v>182</v>
      </c>
      <c r="C8" s="18">
        <v>45804</v>
      </c>
      <c r="D8" s="17" t="s">
        <v>137</v>
      </c>
      <c r="E8" s="17" t="s">
        <v>251</v>
      </c>
      <c r="F8" s="17" t="s">
        <v>135</v>
      </c>
      <c r="G8" s="19" t="s">
        <v>252</v>
      </c>
      <c r="H8" s="20"/>
    </row>
    <row r="9" spans="1:8" x14ac:dyDescent="0.55000000000000004">
      <c r="A9" s="10" t="s">
        <v>184</v>
      </c>
      <c r="B9" s="2" t="s">
        <v>185</v>
      </c>
      <c r="C9" s="12">
        <v>45805</v>
      </c>
      <c r="D9" s="2" t="s">
        <v>186</v>
      </c>
      <c r="E9" s="2" t="s">
        <v>19</v>
      </c>
      <c r="F9" s="2" t="s">
        <v>140</v>
      </c>
      <c r="G9" s="13" t="s">
        <v>252</v>
      </c>
      <c r="H9" s="8"/>
    </row>
    <row r="10" spans="1:8" x14ac:dyDescent="0.55000000000000004">
      <c r="A10" s="16" t="s">
        <v>188</v>
      </c>
      <c r="B10" s="17" t="s">
        <v>189</v>
      </c>
      <c r="C10" s="18">
        <v>45763</v>
      </c>
      <c r="D10" s="17" t="s">
        <v>190</v>
      </c>
      <c r="E10" s="17" t="s">
        <v>191</v>
      </c>
      <c r="F10" s="17" t="s">
        <v>145</v>
      </c>
      <c r="G10" s="19" t="s">
        <v>252</v>
      </c>
      <c r="H10" s="20"/>
    </row>
    <row r="11" spans="1:8" x14ac:dyDescent="0.55000000000000004">
      <c r="A11" s="11" t="s">
        <v>192</v>
      </c>
      <c r="B11" s="5" t="s">
        <v>193</v>
      </c>
      <c r="C11" s="14">
        <v>45811</v>
      </c>
      <c r="D11" s="5" t="s">
        <v>194</v>
      </c>
      <c r="E11" s="5" t="s">
        <v>191</v>
      </c>
      <c r="F11" s="5" t="s">
        <v>146</v>
      </c>
      <c r="G11" s="15" t="s">
        <v>252</v>
      </c>
      <c r="H11" s="9"/>
    </row>
  </sheetData>
  <phoneticPr fontId="3"/>
  <conditionalFormatting sqref="G2:G11">
    <cfRule type="containsText" dxfId="5" priority="1" operator="containsText" text="完了">
      <formula>NOT(ISERROR(SEARCH("完了",G2)))</formula>
    </cfRule>
    <cfRule type="containsText" dxfId="4" priority="2" operator="containsText" text="進行中">
      <formula>NOT(ISERROR(SEARCH("進行中",G2)))</formula>
    </cfRule>
    <cfRule type="containsText" dxfId="3" priority="3" operator="containsText" text="予定">
      <formula>NOT(ISERROR(SEARCH("予定",G2)))</formula>
    </cfRule>
  </conditionalFormatting>
  <dataValidations count="1">
    <dataValidation type="list" allowBlank="1" showInputMessage="1" showErrorMessage="1" promptTitle="ステータス" prompt="マイルストーンの状態を選択してください" sqref="G2:G11" xr:uid="{32F60296-6A3A-41BB-8938-5EA2EA3B7F31}">
      <formula1>"予定,進行中,完了"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ECFE-0019-4606-B308-FCCEFA95EE85}">
  <dimension ref="A1:H19"/>
  <sheetViews>
    <sheetView workbookViewId="0">
      <selection activeCell="H8" sqref="H8"/>
    </sheetView>
  </sheetViews>
  <sheetFormatPr defaultRowHeight="18" x14ac:dyDescent="0.55000000000000004"/>
  <cols>
    <col min="1" max="1" width="13.25" bestFit="1" customWidth="1"/>
    <col min="2" max="2" width="7.75" bestFit="1" customWidth="1"/>
    <col min="3" max="3" width="13.75" bestFit="1" customWidth="1"/>
    <col min="4" max="4" width="15" bestFit="1" customWidth="1"/>
    <col min="5" max="5" width="36.9140625" bestFit="1" customWidth="1"/>
    <col min="6" max="6" width="13.25" bestFit="1" customWidth="1"/>
    <col min="7" max="7" width="9.25" bestFit="1" customWidth="1"/>
    <col min="8" max="8" width="20.33203125" bestFit="1" customWidth="1"/>
  </cols>
  <sheetData>
    <row r="1" spans="1:8" x14ac:dyDescent="0.55000000000000004">
      <c r="A1" s="6" t="s">
        <v>195</v>
      </c>
      <c r="B1" s="3" t="s">
        <v>196</v>
      </c>
      <c r="C1" s="3" t="s">
        <v>148</v>
      </c>
      <c r="D1" s="3" t="s">
        <v>149</v>
      </c>
      <c r="E1" s="3" t="s">
        <v>197</v>
      </c>
      <c r="F1" s="3" t="s">
        <v>198</v>
      </c>
      <c r="G1" s="4" t="s">
        <v>11</v>
      </c>
      <c r="H1" s="7" t="s">
        <v>13</v>
      </c>
    </row>
    <row r="2" spans="1:8" x14ac:dyDescent="0.55000000000000004">
      <c r="A2" s="16" t="s">
        <v>199</v>
      </c>
      <c r="B2" s="19" t="s">
        <v>200</v>
      </c>
      <c r="C2" s="18">
        <v>45756</v>
      </c>
      <c r="D2" s="17" t="s">
        <v>201</v>
      </c>
      <c r="E2" s="17" t="s">
        <v>202</v>
      </c>
      <c r="F2" s="17" t="s">
        <v>203</v>
      </c>
      <c r="G2" s="19" t="s">
        <v>252</v>
      </c>
      <c r="H2" s="20"/>
    </row>
    <row r="3" spans="1:8" x14ac:dyDescent="0.55000000000000004">
      <c r="A3" s="10" t="s">
        <v>199</v>
      </c>
      <c r="B3" s="13" t="s">
        <v>204</v>
      </c>
      <c r="C3" s="12">
        <v>45762</v>
      </c>
      <c r="D3" s="2" t="s">
        <v>205</v>
      </c>
      <c r="E3" s="2" t="s">
        <v>206</v>
      </c>
      <c r="F3" s="2" t="s">
        <v>207</v>
      </c>
      <c r="G3" s="13" t="s">
        <v>252</v>
      </c>
      <c r="H3" s="8"/>
    </row>
    <row r="4" spans="1:8" x14ac:dyDescent="0.55000000000000004">
      <c r="A4" s="16" t="s">
        <v>199</v>
      </c>
      <c r="B4" s="19" t="s">
        <v>208</v>
      </c>
      <c r="C4" s="18">
        <v>45769</v>
      </c>
      <c r="D4" s="17" t="s">
        <v>205</v>
      </c>
      <c r="E4" s="17" t="s">
        <v>209</v>
      </c>
      <c r="F4" s="17" t="s">
        <v>75</v>
      </c>
      <c r="G4" s="19" t="s">
        <v>252</v>
      </c>
      <c r="H4" s="20"/>
    </row>
    <row r="5" spans="1:8" x14ac:dyDescent="0.55000000000000004">
      <c r="A5" s="10" t="s">
        <v>199</v>
      </c>
      <c r="B5" s="13" t="s">
        <v>210</v>
      </c>
      <c r="C5" s="12">
        <v>45776</v>
      </c>
      <c r="D5" s="2" t="s">
        <v>211</v>
      </c>
      <c r="E5" s="2" t="s">
        <v>212</v>
      </c>
      <c r="F5" s="2" t="s">
        <v>213</v>
      </c>
      <c r="G5" s="13" t="s">
        <v>252</v>
      </c>
      <c r="H5" s="8"/>
    </row>
    <row r="6" spans="1:8" x14ac:dyDescent="0.55000000000000004">
      <c r="A6" s="16" t="s">
        <v>199</v>
      </c>
      <c r="B6" s="19" t="s">
        <v>214</v>
      </c>
      <c r="C6" s="18">
        <v>45783</v>
      </c>
      <c r="D6" s="17" t="s">
        <v>205</v>
      </c>
      <c r="E6" s="17" t="s">
        <v>215</v>
      </c>
      <c r="F6" s="17" t="s">
        <v>101</v>
      </c>
      <c r="G6" s="19" t="s">
        <v>252</v>
      </c>
      <c r="H6" s="20"/>
    </row>
    <row r="7" spans="1:8" x14ac:dyDescent="0.55000000000000004">
      <c r="A7" s="10" t="s">
        <v>199</v>
      </c>
      <c r="B7" s="13" t="s">
        <v>216</v>
      </c>
      <c r="C7" s="12">
        <v>45790</v>
      </c>
      <c r="D7" s="2" t="s">
        <v>205</v>
      </c>
      <c r="E7" s="2" t="s">
        <v>217</v>
      </c>
      <c r="F7" s="2" t="s">
        <v>218</v>
      </c>
      <c r="G7" s="13" t="s">
        <v>252</v>
      </c>
      <c r="H7" s="8"/>
    </row>
    <row r="8" spans="1:8" x14ac:dyDescent="0.55000000000000004">
      <c r="A8" s="16" t="s">
        <v>199</v>
      </c>
      <c r="B8" s="19" t="s">
        <v>219</v>
      </c>
      <c r="C8" s="18">
        <v>45797</v>
      </c>
      <c r="D8" s="17" t="s">
        <v>205</v>
      </c>
      <c r="E8" s="17" t="s">
        <v>220</v>
      </c>
      <c r="F8" s="17" t="s">
        <v>179</v>
      </c>
      <c r="G8" s="19" t="s">
        <v>252</v>
      </c>
      <c r="H8" s="20"/>
    </row>
    <row r="9" spans="1:8" x14ac:dyDescent="0.55000000000000004">
      <c r="A9" s="10" t="s">
        <v>199</v>
      </c>
      <c r="B9" s="13" t="s">
        <v>221</v>
      </c>
      <c r="C9" s="12">
        <v>45804</v>
      </c>
      <c r="D9" s="2" t="s">
        <v>182</v>
      </c>
      <c r="E9" s="2" t="s">
        <v>222</v>
      </c>
      <c r="F9" s="2" t="s">
        <v>223</v>
      </c>
      <c r="G9" s="13" t="s">
        <v>252</v>
      </c>
      <c r="H9" s="8"/>
    </row>
    <row r="10" spans="1:8" x14ac:dyDescent="0.55000000000000004">
      <c r="A10" s="16" t="s">
        <v>224</v>
      </c>
      <c r="B10" s="19" t="s">
        <v>156</v>
      </c>
      <c r="C10" s="18">
        <v>45756</v>
      </c>
      <c r="D10" s="17" t="s">
        <v>225</v>
      </c>
      <c r="E10" s="17" t="s">
        <v>226</v>
      </c>
      <c r="F10" s="17" t="s">
        <v>152</v>
      </c>
      <c r="G10" s="19" t="s">
        <v>252</v>
      </c>
      <c r="H10" s="20" t="s">
        <v>227</v>
      </c>
    </row>
    <row r="11" spans="1:8" x14ac:dyDescent="0.55000000000000004">
      <c r="A11" s="10" t="s">
        <v>224</v>
      </c>
      <c r="B11" s="13" t="s">
        <v>162</v>
      </c>
      <c r="C11" s="12">
        <v>45765</v>
      </c>
      <c r="D11" s="2" t="s">
        <v>158</v>
      </c>
      <c r="E11" s="2" t="s">
        <v>228</v>
      </c>
      <c r="F11" s="2" t="s">
        <v>157</v>
      </c>
      <c r="G11" s="13" t="s">
        <v>252</v>
      </c>
      <c r="H11" s="8" t="s">
        <v>227</v>
      </c>
    </row>
    <row r="12" spans="1:8" x14ac:dyDescent="0.55000000000000004">
      <c r="A12" s="16" t="s">
        <v>224</v>
      </c>
      <c r="B12" s="19" t="s">
        <v>166</v>
      </c>
      <c r="C12" s="18">
        <v>45776</v>
      </c>
      <c r="D12" s="17" t="s">
        <v>229</v>
      </c>
      <c r="E12" s="17" t="s">
        <v>230</v>
      </c>
      <c r="F12" s="17" t="s">
        <v>163</v>
      </c>
      <c r="G12" s="19" t="s">
        <v>252</v>
      </c>
      <c r="H12" s="20"/>
    </row>
    <row r="13" spans="1:8" x14ac:dyDescent="0.55000000000000004">
      <c r="A13" s="10" t="s">
        <v>224</v>
      </c>
      <c r="B13" s="13" t="s">
        <v>170</v>
      </c>
      <c r="C13" s="12">
        <v>45778</v>
      </c>
      <c r="D13" s="2" t="s">
        <v>231</v>
      </c>
      <c r="E13" s="2" t="s">
        <v>232</v>
      </c>
      <c r="F13" s="2" t="s">
        <v>167</v>
      </c>
      <c r="G13" s="13" t="s">
        <v>252</v>
      </c>
      <c r="H13" s="8" t="s">
        <v>168</v>
      </c>
    </row>
    <row r="14" spans="1:8" x14ac:dyDescent="0.55000000000000004">
      <c r="A14" s="16" t="s">
        <v>224</v>
      </c>
      <c r="B14" s="19" t="s">
        <v>174</v>
      </c>
      <c r="C14" s="18">
        <v>45790</v>
      </c>
      <c r="D14" s="17" t="s">
        <v>172</v>
      </c>
      <c r="E14" s="17" t="s">
        <v>233</v>
      </c>
      <c r="F14" s="17" t="s">
        <v>171</v>
      </c>
      <c r="G14" s="19" t="s">
        <v>252</v>
      </c>
      <c r="H14" s="20"/>
    </row>
    <row r="15" spans="1:8" x14ac:dyDescent="0.55000000000000004">
      <c r="A15" s="10" t="s">
        <v>224</v>
      </c>
      <c r="B15" s="13" t="s">
        <v>180</v>
      </c>
      <c r="C15" s="12">
        <v>45798</v>
      </c>
      <c r="D15" s="2" t="s">
        <v>234</v>
      </c>
      <c r="E15" s="2" t="s">
        <v>235</v>
      </c>
      <c r="F15" s="2" t="s">
        <v>175</v>
      </c>
      <c r="G15" s="13" t="s">
        <v>252</v>
      </c>
      <c r="H15" s="8" t="s">
        <v>227</v>
      </c>
    </row>
    <row r="16" spans="1:8" x14ac:dyDescent="0.55000000000000004">
      <c r="A16" s="16" t="s">
        <v>224</v>
      </c>
      <c r="B16" s="19" t="s">
        <v>183</v>
      </c>
      <c r="C16" s="18">
        <v>45804</v>
      </c>
      <c r="D16" s="17" t="s">
        <v>236</v>
      </c>
      <c r="E16" s="17" t="s">
        <v>237</v>
      </c>
      <c r="F16" s="17" t="s">
        <v>181</v>
      </c>
      <c r="G16" s="19" t="s">
        <v>252</v>
      </c>
      <c r="H16" s="20"/>
    </row>
    <row r="17" spans="1:8" x14ac:dyDescent="0.55000000000000004">
      <c r="A17" s="10" t="s">
        <v>224</v>
      </c>
      <c r="B17" s="13" t="s">
        <v>187</v>
      </c>
      <c r="C17" s="12">
        <v>45805</v>
      </c>
      <c r="D17" s="2" t="s">
        <v>238</v>
      </c>
      <c r="E17" s="2" t="s">
        <v>239</v>
      </c>
      <c r="F17" s="2" t="s">
        <v>184</v>
      </c>
      <c r="G17" s="13" t="s">
        <v>252</v>
      </c>
      <c r="H17" s="8"/>
    </row>
    <row r="18" spans="1:8" x14ac:dyDescent="0.55000000000000004">
      <c r="A18" s="16" t="s">
        <v>240</v>
      </c>
      <c r="B18" s="19" t="s">
        <v>241</v>
      </c>
      <c r="C18" s="18">
        <v>45763</v>
      </c>
      <c r="D18" s="17" t="s">
        <v>189</v>
      </c>
      <c r="E18" s="17" t="s">
        <v>242</v>
      </c>
      <c r="F18" s="17" t="s">
        <v>243</v>
      </c>
      <c r="G18" s="19" t="s">
        <v>252</v>
      </c>
      <c r="H18" s="20"/>
    </row>
    <row r="19" spans="1:8" x14ac:dyDescent="0.55000000000000004">
      <c r="A19" s="11" t="s">
        <v>240</v>
      </c>
      <c r="B19" s="15" t="s">
        <v>244</v>
      </c>
      <c r="C19" s="14">
        <v>45811</v>
      </c>
      <c r="D19" s="5" t="s">
        <v>193</v>
      </c>
      <c r="E19" s="5" t="s">
        <v>245</v>
      </c>
      <c r="F19" s="5" t="s">
        <v>246</v>
      </c>
      <c r="G19" s="15" t="s">
        <v>252</v>
      </c>
      <c r="H19" s="9"/>
    </row>
  </sheetData>
  <phoneticPr fontId="3"/>
  <conditionalFormatting sqref="G2:G19">
    <cfRule type="containsText" dxfId="2" priority="1" operator="containsText" text="完了">
      <formula>NOT(ISERROR(SEARCH("完了",G2)))</formula>
    </cfRule>
    <cfRule type="containsText" dxfId="1" priority="2" operator="containsText" text="進行中">
      <formula>NOT(ISERROR(SEARCH("進行中",G2)))</formula>
    </cfRule>
    <cfRule type="containsText" dxfId="0" priority="3" operator="containsText" text="予定">
      <formula>NOT(ISERROR(SEARCH("予定",G2)))</formula>
    </cfRule>
  </conditionalFormatting>
  <dataValidations count="1">
    <dataValidation type="list" allowBlank="1" showInputMessage="1" showErrorMessage="1" promptTitle="ステータス" prompt="状態を選択してください" sqref="G2:G19" xr:uid="{00744F29-A30C-4C8B-96D5-A5E2DDC6B90D}">
      <formula1>"予定,進行中,完了"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2026-04-08T03:35:17Z</dcterms:modified>
</cp:coreProperties>
</file>