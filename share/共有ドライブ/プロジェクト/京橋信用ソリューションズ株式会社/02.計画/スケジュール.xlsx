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_共有フォルダ\共有ドライブ\プロジェクト\京橋信用ソリューションズ株式会社\02.計画\"/>
    </mc:Choice>
  </mc:AlternateContent>
  <xr:revisionPtr revIDLastSave="0" documentId="13_ncr:1_{ADFA8D75-840A-4FDE-AEB3-CFD130A5DD20}" xr6:coauthVersionLast="47" xr6:coauthVersionMax="47" xr10:uidLastSave="{00000000-0000-0000-0000-000000000000}"/>
  <bookViews>
    <workbookView xWindow="-38498" yWindow="-14625" windowWidth="38596" windowHeight="21075" xr2:uid="{00000000-000D-0000-FFFF-FFFF00000000}"/>
  </bookViews>
  <sheets>
    <sheet name="WBSタスク一覧" sheetId="1" r:id="rId1"/>
    <sheet name="マイルストーン" sheetId="2" r:id="rId2"/>
    <sheet name="会議体・チェックポイント" sheetId="3" r:id="rId3"/>
    <sheet name="リソース計画" sheetId="4" r:id="rId4"/>
  </sheets>
  <definedNames>
    <definedName name="_xlnm._FilterDatabase" localSheetId="0" hidden="1">WBSタスク一覧!$A$1:$N$31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<sst xmlns="http://schemas.openxmlformats.org/spreadsheetml/2006/main" count="500" uniqueCount="356">
  <si>
    <t>タスクID</t>
  </si>
  <si>
    <t>フェーズNo.</t>
  </si>
  <si>
    <t>フェーズ名</t>
  </si>
  <si>
    <t>タスク名</t>
  </si>
  <si>
    <t>詳細・補足</t>
  </si>
  <si>
    <t>担当者</t>
  </si>
  <si>
    <t>開始日</t>
  </si>
  <si>
    <t>終了日</t>
  </si>
  <si>
    <t>日数</t>
  </si>
  <si>
    <t>依存タスク</t>
  </si>
  <si>
    <t>成果物</t>
  </si>
  <si>
    <t>ステータス</t>
  </si>
  <si>
    <t>CP</t>
  </si>
  <si>
    <t>備考</t>
  </si>
  <si>
    <t>T01</t>
  </si>
  <si>
    <t>立上げ・統制確立</t>
  </si>
  <si>
    <t>契約発効・プロジェクト開始</t>
  </si>
  <si>
    <t>契約開始日 2025-10-01、契約期間6週間</t>
  </si>
  <si>
    <t>佐藤 健一</t>
  </si>
  <si>
    <t>-</t>
  </si>
  <si>
    <t>開始記録</t>
  </si>
  <si>
    <t>●</t>
  </si>
  <si>
    <t>MS1関連</t>
  </si>
  <si>
    <t>T02</t>
  </si>
  <si>
    <t>キックオフ会議実施</t>
  </si>
  <si>
    <t>目的、KPI、スコープ、体制、レビュー計画を確定</t>
  </si>
  <si>
    <t>佐藤 健一 / 高橋 恒一</t>
  </si>
  <si>
    <t>議事録、決定事項一覧</t>
  </si>
  <si>
    <t>MS1関連 出席: 高橋,佐藤,鈴木,斎藤,井上</t>
  </si>
  <si>
    <t>T03</t>
  </si>
  <si>
    <t>データ受領・正本確認</t>
  </si>
  <si>
    <t>正本データ前提の確認</t>
  </si>
  <si>
    <t>斎藤 悠斗</t>
  </si>
  <si>
    <t>データ受領確認記録</t>
  </si>
  <si>
    <t>T04</t>
  </si>
  <si>
    <t>カラム定義・分析前提確認</t>
  </si>
  <si>
    <t>分析対象カラムと前提条件の確認</t>
  </si>
  <si>
    <t>井上 里奈 / 鈴木 美咲</t>
  </si>
  <si>
    <t>前提確認メモ</t>
  </si>
  <si>
    <t>T05</t>
  </si>
  <si>
    <t>進行管理台帳・監査証跡台帳初期化</t>
  </si>
  <si>
    <t>課題管理表、版管理表、アクセス管理記録の整備</t>
  </si>
  <si>
    <t>課題管理表、版管理表、アクセス管理記録</t>
  </si>
  <si>
    <t>金融ガバナンス要件</t>
  </si>
  <si>
    <t>T06</t>
  </si>
  <si>
    <t>着手金請求・支払管理</t>
  </si>
  <si>
    <t>着手金 2,887,500円（税込）、支払期日 2025-10-08</t>
  </si>
  <si>
    <t>支払管理記録（着手金）</t>
  </si>
  <si>
    <t>T07</t>
  </si>
  <si>
    <t>データ理解・EDA</t>
  </si>
  <si>
    <t>データ品質確認</t>
  </si>
  <si>
    <t>欠損値、型、整合性等の品質チェック</t>
  </si>
  <si>
    <t>T03,T04</t>
  </si>
  <si>
    <t>データ品質確認結果</t>
  </si>
  <si>
    <t>T08</t>
  </si>
  <si>
    <t>探索的データ分析（EDA）</t>
  </si>
  <si>
    <t>分布・不均衡・特別値確認</t>
  </si>
  <si>
    <t>鈴木 美咲</t>
  </si>
  <si>
    <t>EDA結果資料</t>
  </si>
  <si>
    <t>T09</t>
  </si>
  <si>
    <t>業務仮説整理・KPI接続</t>
  </si>
  <si>
    <t>業務示唆仮説の整理とKPIへの接続</t>
  </si>
  <si>
    <t>井上 里奈</t>
  </si>
  <si>
    <t>T04,T08</t>
  </si>
  <si>
    <t>業務示唆仮説メモ</t>
  </si>
  <si>
    <t>T10</t>
  </si>
  <si>
    <t>EDAレビュー・論点整理</t>
  </si>
  <si>
    <t>EDA結果の確認と論点一覧作成</t>
  </si>
  <si>
    <t>佐藤 健一 / 鈴木 美咲</t>
  </si>
  <si>
    <t>T08,T09</t>
  </si>
  <si>
    <t>EDA論点一覧</t>
  </si>
  <si>
    <t>MS2関連 CP2: EDA論点確定確認</t>
  </si>
  <si>
    <t>T11</t>
  </si>
  <si>
    <t>前処理設計・ベースライン構築</t>
  </si>
  <si>
    <t>学習/検証分割・前処理設計</t>
  </si>
  <si>
    <t>学習データと検証データの分割方針策定</t>
  </si>
  <si>
    <t>鈴木 美咲 / 斎藤 悠斗</t>
  </si>
  <si>
    <t>前処理設計書</t>
  </si>
  <si>
    <t>T12</t>
  </si>
  <si>
    <t>pdays=-1・unknown 取扱い実装</t>
  </si>
  <si>
    <t>特殊値の前処理ロジック実装</t>
  </si>
  <si>
    <t>前処理実装コード、処理ログ</t>
  </si>
  <si>
    <t>duration分岐に関連</t>
  </si>
  <si>
    <t>T13</t>
  </si>
  <si>
    <t>ベースラインモデル構築</t>
  </si>
  <si>
    <t>初期モデルの構築と評価</t>
  </si>
  <si>
    <t>T11,T12</t>
  </si>
  <si>
    <t>ベースライン評価結果</t>
  </si>
  <si>
    <t>T14</t>
  </si>
  <si>
    <t>duration含有/非含有モデル分岐評価</t>
  </si>
  <si>
    <t>用途別にduration変数の有無で比較</t>
  </si>
  <si>
    <t>用途別比較結果</t>
  </si>
  <si>
    <t>T15</t>
  </si>
  <si>
    <t>ベースライン評価レビュー</t>
  </si>
  <si>
    <t>QA観点でのベースライン結果レビュー</t>
  </si>
  <si>
    <t>池田 恒一</t>
  </si>
  <si>
    <t>T13,T14</t>
  </si>
  <si>
    <t>QAレビュー記録</t>
  </si>
  <si>
    <t>MS3関連 CP3: ベースライン評価妥当性確認</t>
  </si>
  <si>
    <t>T16</t>
  </si>
  <si>
    <t>モデル比較・説明性整理</t>
  </si>
  <si>
    <t>比較モデル構築・性能評価</t>
  </si>
  <si>
    <t>複数モデルの構築と性能比較</t>
  </si>
  <si>
    <t>モデル比較表</t>
  </si>
  <si>
    <t>T17</t>
  </si>
  <si>
    <t>説明可能性整理・重要変数分析</t>
  </si>
  <si>
    <t>モデルの説明可能性と重要変数の分析</t>
  </si>
  <si>
    <t>鈴木 美咲 / 井上 里奈</t>
  </si>
  <si>
    <t>重要変数分析資料、説明例</t>
  </si>
  <si>
    <t>T18</t>
  </si>
  <si>
    <t>公平性・バイアス初期確認</t>
  </si>
  <si>
    <t>金融ガバナンス要件としての公平性確認</t>
  </si>
  <si>
    <t>池田 恒一 / 鈴木 美咲</t>
  </si>
  <si>
    <t>公平性確認メモ</t>
  </si>
  <si>
    <t>T19</t>
  </si>
  <si>
    <t>中間報告資料作成</t>
  </si>
  <si>
    <t>中間報告書および説明資料の作成</t>
  </si>
  <si>
    <t>井上 里奈 / 佐藤 健一</t>
  </si>
  <si>
    <t>T16,T17,T18</t>
  </si>
  <si>
    <t>中間報告書、説明資料</t>
  </si>
  <si>
    <t>T20</t>
  </si>
  <si>
    <t>中間報告・変更管理判定</t>
  </si>
  <si>
    <t>中間報告会実施</t>
  </si>
  <si>
    <t>EDA、前処理方針、比較モデル、評価軸、監査観点を報告</t>
  </si>
  <si>
    <t>中間報告議事録、承認事項一覧</t>
  </si>
  <si>
    <t>MS4関連 CP4 出席: 高橋,佐藤,鈴木,井上,池田</t>
  </si>
  <si>
    <t>T21</t>
  </si>
  <si>
    <t>変更管理チェックポイント実施</t>
  </si>
  <si>
    <t>スコープ内継続可否、追加要求有無、最終報告反映範囲を確定</t>
  </si>
  <si>
    <t>変更要求判定記録</t>
  </si>
  <si>
    <t>MS5関連 CP5 変更管理判定</t>
  </si>
  <si>
    <t>T22</t>
  </si>
  <si>
    <t>中間指摘反映・最終方針確定</t>
  </si>
  <si>
    <t>指摘反映優先順位付け、最終分析方針の確定</t>
  </si>
  <si>
    <t>T20,T21</t>
  </si>
  <si>
    <t>最終分析方針書</t>
  </si>
  <si>
    <t>リスクバッファ期間</t>
  </si>
  <si>
    <t>T23</t>
  </si>
  <si>
    <t>最終成果物化・納品・検収会</t>
  </si>
  <si>
    <t>最終モデル確定・再評価</t>
  </si>
  <si>
    <t>最終モデルの確定と再評価実施</t>
  </si>
  <si>
    <t>最終評価結果</t>
  </si>
  <si>
    <t>T24</t>
  </si>
  <si>
    <t>最終報告書・分析補足資料作成</t>
  </si>
  <si>
    <t>最終報告書および分析補足資料の作成</t>
  </si>
  <si>
    <t>最終報告書、分析補足資料</t>
  </si>
  <si>
    <t>T25</t>
  </si>
  <si>
    <t>再現性管理情報・監査証跡整理</t>
  </si>
  <si>
    <t>再現性管理情報と監査証跡の最終整理</t>
  </si>
  <si>
    <t>斎藤 悠斗 / 池田 恒一</t>
  </si>
  <si>
    <t>再現性管理情報、監査証跡記録</t>
  </si>
  <si>
    <t>T26</t>
  </si>
  <si>
    <t>品質保証レビュー・リスクバッファ</t>
  </si>
  <si>
    <t>QA指摘反映、図表差替え、数値整合確認、軽微な再分析</t>
  </si>
  <si>
    <t>T24,T25</t>
  </si>
  <si>
    <t>QAレビュー結果、修正版成果物</t>
  </si>
  <si>
    <t>CP6: 最終QA完了確認 リスクバッファ期間</t>
  </si>
  <si>
    <t>T27</t>
  </si>
  <si>
    <t>最終報告・成果物提出・検収会</t>
  </si>
  <si>
    <t>最終報告書、補足資料、再現性管理情報を提出し説明完了</t>
  </si>
  <si>
    <t>最終報告議事録、納品記録</t>
  </si>
  <si>
    <t>MS6関連 CP7 出席: 高橋,山田,佐藤,鈴木,池田</t>
  </si>
  <si>
    <t>T28</t>
  </si>
  <si>
    <t>検収後支払・クローズ処理</t>
  </si>
  <si>
    <t>検収結果反映</t>
  </si>
  <si>
    <t>検収結果を記録、是正要否または受入完了を確定</t>
  </si>
  <si>
    <t>検収記録</t>
  </si>
  <si>
    <t>MS7関連 CP8</t>
  </si>
  <si>
    <t>T29</t>
  </si>
  <si>
    <t>検収金請求・支払管理</t>
  </si>
  <si>
    <t>検収金 2,887,500円（税込）、支払期日 2025-11-18</t>
  </si>
  <si>
    <t>支払管理記録（検収金）</t>
  </si>
  <si>
    <t>T30</t>
  </si>
  <si>
    <t>プロジェクトクローズ</t>
  </si>
  <si>
    <t>クローズ報告の作成と完了</t>
  </si>
  <si>
    <t>クローズ報告</t>
  </si>
  <si>
    <t>MS ID</t>
  </si>
  <si>
    <t>マイルストーン名</t>
  </si>
  <si>
    <t>日付</t>
  </si>
  <si>
    <t>関連会議</t>
  </si>
  <si>
    <t>到達基準</t>
  </si>
  <si>
    <t>関連タスク</t>
  </si>
  <si>
    <t>MS1</t>
  </si>
  <si>
    <t>キックオフ完了</t>
  </si>
  <si>
    <t>M01 キックオフ</t>
  </si>
  <si>
    <t>目的、KPI、スコープ、体制、レビュー計画、正本データ前提を確定</t>
  </si>
  <si>
    <t>T01, T02</t>
  </si>
  <si>
    <t>MS2</t>
  </si>
  <si>
    <t>EDA完了</t>
  </si>
  <si>
    <t>週次進捗確認</t>
  </si>
  <si>
    <t>データ品質、分布、カテゴリ別傾向、特別値論点を整理完了</t>
  </si>
  <si>
    <t>MS3</t>
  </si>
  <si>
    <t>ベースライン評価完了</t>
  </si>
  <si>
    <t>学習/検証分割、前処理方針、ベースライン結果、duration分岐方針を確定</t>
  </si>
  <si>
    <t>MS4</t>
  </si>
  <si>
    <t>中間報告完了</t>
  </si>
  <si>
    <t>M02 中間報告</t>
  </si>
  <si>
    <t>EDA、前処理方針、比較モデル、評価軸、監査観点の論点を報告完了</t>
  </si>
  <si>
    <t>MS5</t>
  </si>
  <si>
    <t>変更管理判定完了</t>
  </si>
  <si>
    <t>変更管理チェックポイント</t>
  </si>
  <si>
    <t>MS6</t>
  </si>
  <si>
    <t>最終成果物提出・最終報告完了</t>
  </si>
  <si>
    <t>M03 最終報告・検収会</t>
  </si>
  <si>
    <t>MS7</t>
  </si>
  <si>
    <t>検収判定反映完了</t>
  </si>
  <si>
    <t>検収フォロー</t>
  </si>
  <si>
    <t>検収結果を記録し、是正要否または受入完了を確定</t>
  </si>
  <si>
    <t>MS8</t>
  </si>
  <si>
    <t>第1回支払期日（着手金）</t>
  </si>
  <si>
    <t>着手金 2,887,500円（税込）の支払期日到来</t>
  </si>
  <si>
    <t>MS9</t>
  </si>
  <si>
    <t>第2回支払期日（検収金）</t>
  </si>
  <si>
    <t>検収金 2,887,500円（税込）の支払期日到来</t>
  </si>
  <si>
    <t>■ 主要会議体</t>
  </si>
  <si>
    <t>会議ID</t>
  </si>
  <si>
    <t>会議名</t>
  </si>
  <si>
    <t>時間</t>
  </si>
  <si>
    <t>出席者</t>
  </si>
  <si>
    <t>目的・アジェンダ</t>
  </si>
  <si>
    <t>関連MS</t>
  </si>
  <si>
    <t>M01</t>
  </si>
  <si>
    <t>キックオフ会議</t>
  </si>
  <si>
    <t>高橋 恒一, 佐藤 健一, 鈴木 美咲, 斎藤 悠斗, 井上 里奈</t>
  </si>
  <si>
    <t>目的、KPI、スコープ、体制、レビュー計画の確定</t>
  </si>
  <si>
    <t>M02</t>
  </si>
  <si>
    <t>中間報告会</t>
  </si>
  <si>
    <t>高橋 恒一, 佐藤 健一, 鈴木 美咲, 井上 里奈, 池田 恒一</t>
  </si>
  <si>
    <t>EDA、前処理方針、比較モデル、評価軸、監査観点の報告</t>
  </si>
  <si>
    <t>M03</t>
  </si>
  <si>
    <t>最終報告・検収会</t>
  </si>
  <si>
    <t>高橋 恒一, 山田 直樹, 佐藤 健一, 鈴木 美咲, 池田 恒一</t>
  </si>
  <si>
    <t>最終報告書提出、成果物説明、検収判定</t>
  </si>
  <si>
    <t>■ 週次進捗確認（毎週月曜 10:00）</t>
  </si>
  <si>
    <t>回</t>
  </si>
  <si>
    <t>主な確認事項</t>
  </si>
  <si>
    <t>進捗判定</t>
  </si>
  <si>
    <t>第1回</t>
  </si>
  <si>
    <t>データ受領確認、品質確認進捗、台帳整備状況</t>
  </si>
  <si>
    <t>第1週完了タスク振り返り</t>
  </si>
  <si>
    <t>第2回</t>
  </si>
  <si>
    <t>EDA進捗、業務仮説整理状況</t>
  </si>
  <si>
    <t>EDAレビュー直前</t>
  </si>
  <si>
    <t>第3回</t>
  </si>
  <si>
    <t>前処理設計、ベースライン構築進捗</t>
  </si>
  <si>
    <t>ベースライン評価レビュー直前</t>
  </si>
  <si>
    <t>第4回</t>
  </si>
  <si>
    <t>モデル比較、説明可能性整理、中間報告資料状況</t>
  </si>
  <si>
    <t>中間報告準備確認</t>
  </si>
  <si>
    <t>第5回</t>
  </si>
  <si>
    <t>最終モデル確定、報告書作成進捗</t>
  </si>
  <si>
    <t>最終成果物化開始後</t>
  </si>
  <si>
    <t>第6回</t>
  </si>
  <si>
    <t>QA完了確認、最終報告準備状況</t>
  </si>
  <si>
    <t>CP6: 最終QA完了確認</t>
  </si>
  <si>
    <t>■ チェックポイント（CP）</t>
  </si>
  <si>
    <t>CP ID</t>
  </si>
  <si>
    <t>チェックポイント名</t>
  </si>
  <si>
    <t>確認内容</t>
  </si>
  <si>
    <t>判定基準</t>
  </si>
  <si>
    <t>CP1</t>
  </si>
  <si>
    <t>キックオフ完了確認</t>
  </si>
  <si>
    <t>キックオフ完了、体制確定</t>
  </si>
  <si>
    <t>議事録承認済み</t>
  </si>
  <si>
    <t>CP2</t>
  </si>
  <si>
    <t>EDA論点確定確認</t>
  </si>
  <si>
    <t>EDA完了、論点一覧確定</t>
  </si>
  <si>
    <t>EDA論点一覧承認済み</t>
  </si>
  <si>
    <t>CP3</t>
  </si>
  <si>
    <t>ベースライン評価妥当性確認</t>
  </si>
  <si>
    <t>ベースライン結果の妥当性確認</t>
  </si>
  <si>
    <t>QAレビュー完了</t>
  </si>
  <si>
    <t>CP4</t>
  </si>
  <si>
    <t>中間報告承認事項確認</t>
  </si>
  <si>
    <t>中間報告での承認事項確認</t>
  </si>
  <si>
    <t>議事録・承認事項確定</t>
  </si>
  <si>
    <t>CP5</t>
  </si>
  <si>
    <t>スコープ内継続可否・追加要求判定</t>
  </si>
  <si>
    <t>変更要求判定記録確定</t>
  </si>
  <si>
    <t>CP6</t>
  </si>
  <si>
    <t>最終QA完了確認</t>
  </si>
  <si>
    <t>QA指摘反映、成果物品質確認</t>
  </si>
  <si>
    <t>QAレビュー結果承認</t>
  </si>
  <si>
    <t>CP7</t>
  </si>
  <si>
    <t>最終報告・納品確認</t>
  </si>
  <si>
    <t>最終報告完了、成果物提出</t>
  </si>
  <si>
    <t>納品記録確定</t>
  </si>
  <si>
    <t>CP8</t>
  </si>
  <si>
    <t>検収結果確定確認</t>
  </si>
  <si>
    <t>検収判定完了</t>
  </si>
  <si>
    <t>検収記録確定</t>
  </si>
  <si>
    <t>■ プロジェクト体制・役割分担</t>
  </si>
  <si>
    <t>主担当領域</t>
  </si>
  <si>
    <t>全体進行管理、会議体運営、課題・変更管理、納品・検収・支払管理</t>
  </si>
  <si>
    <t>T01,T02,T05,T06,T10,T19,T20,T21,T27,T28,T29,T30</t>
  </si>
  <si>
    <t>分析設計、EDA方針策定、モデル構築・比較、説明可能性整理</t>
  </si>
  <si>
    <t>T04,T08,T10,T11,T13,T14,T16,T17,T18,T22,T23,T24</t>
  </si>
  <si>
    <t>データ受領・正本確認、前処理実装、再現性管理情報整備、実行ログ保全</t>
  </si>
  <si>
    <t>T03,T07,T11,T12,T25</t>
  </si>
  <si>
    <t>業務要件整理、KPI接続、中間/最終報告の業務ストーリー構成、示唆整理</t>
  </si>
  <si>
    <t>T04,T09,T17,T19,T22,T24</t>
  </si>
  <si>
    <t>数値・文書整合性レビュー、公平性観点レビュー、最終成果物QA、監査証跡確認</t>
  </si>
  <si>
    <t>T15,T18,T25,T26</t>
  </si>
  <si>
    <t>高橋 恒一</t>
  </si>
  <si>
    <t>業務観点レビュー、承認・検収判断、支払関連処理窓口</t>
  </si>
  <si>
    <t>T02,T06,T20,T21,T27,T29</t>
  </si>
  <si>
    <t>■ 週別リソース重点投入計画</t>
  </si>
  <si>
    <t>週</t>
  </si>
  <si>
    <t>期間</t>
  </si>
  <si>
    <t>主な作業内容</t>
  </si>
  <si>
    <t>フェーズ</t>
  </si>
  <si>
    <t>第1週</t>
  </si>
  <si>
    <t>2025-10-01 ～ 2025-10-07</t>
  </si>
  <si>
    <t>キックオフ、データ受領、台帳整備、カラム定義</t>
  </si>
  <si>
    <t>フェーズ1</t>
  </si>
  <si>
    <t>第2週</t>
  </si>
  <si>
    <t>2025-10-08 ～ 2025-10-14</t>
  </si>
  <si>
    <t>EDA実施、データ品質確認、業務仮説整理</t>
  </si>
  <si>
    <t>フェーズ2</t>
  </si>
  <si>
    <t>第3週</t>
  </si>
  <si>
    <t>2025-10-15 ～ 2025-10-21</t>
  </si>
  <si>
    <t>前処理設計、ベースライン構築、評価レビュー</t>
  </si>
  <si>
    <t>フェーズ3</t>
  </si>
  <si>
    <t>第4週</t>
  </si>
  <si>
    <t>2025-10-22 ～ 2025-10-28</t>
  </si>
  <si>
    <t>モデル比較、説明可能性整理、中間報告資料作成</t>
  </si>
  <si>
    <t>フェーズ4</t>
  </si>
  <si>
    <t>第5週</t>
  </si>
  <si>
    <t>2025-10-29 ～ 2025-11-04</t>
  </si>
  <si>
    <t>中間報告会、変更管理、最終モデル確定開始</t>
  </si>
  <si>
    <t>フェーズ5-6</t>
  </si>
  <si>
    <t>第6週</t>
  </si>
  <si>
    <t>2025-11-05 ～ 2025-11-11</t>
  </si>
  <si>
    <t>成果物化、QA、最終報告対応</t>
  </si>
  <si>
    <t>フェーズ6</t>
  </si>
  <si>
    <t>検収後</t>
  </si>
  <si>
    <t>2025-11-12 ～ 2025-11-18</t>
  </si>
  <si>
    <t>検収結果反映、請求・クローズ処理</t>
  </si>
  <si>
    <t>フェーズ7</t>
  </si>
  <si>
    <t>■ 進捗判定基準・エスカレーションルール</t>
  </si>
  <si>
    <t>判定</t>
  </si>
  <si>
    <t>条件</t>
  </si>
  <si>
    <t>対応</t>
  </si>
  <si>
    <t>緑</t>
  </si>
  <si>
    <t>当週終了予定タスクが計画どおり完了見込み</t>
  </si>
  <si>
    <t>通常運営</t>
  </si>
  <si>
    <t>黄</t>
  </si>
  <si>
    <t>1営業日以内の遅延見込み、代替策あり</t>
  </si>
  <si>
    <t>黄が2週連続 → PMが是正計画を文書化し次回週次で提示</t>
  </si>
  <si>
    <t>赤</t>
  </si>
  <si>
    <t>2営業日以上の遅延見込み、会議体または変更管理判断が必要</t>
  </si>
  <si>
    <t>PMが当日中に高橋課長へ連絡、翌営業日までに対応方針確定</t>
  </si>
  <si>
    <t>完了</t>
    <phoneticPr fontId="1"/>
  </si>
  <si>
    <t>完了</t>
    <phoneticPr fontId="1"/>
  </si>
  <si>
    <t>MS9関連 検収完了後5営業日以内
期日に支払い確認済み</t>
    <rPh sb="18" eb="20">
      <t>キジツ</t>
    </rPh>
    <rPh sb="21" eb="23">
      <t>シハラ</t>
    </rPh>
    <rPh sb="24" eb="27">
      <t>カクニンズ</t>
    </rPh>
    <phoneticPr fontId="1"/>
  </si>
  <si>
    <t>MS8関連 契約締結後5営業日以内
2025/11/18に支払確認済</t>
    <rPh sb="29" eb="31">
      <t>シハラ</t>
    </rPh>
    <rPh sb="31" eb="33">
      <t>カクニン</t>
    </rPh>
    <rPh sb="33" eb="34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</si>
</sst>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0"/>
      <color rgb="FFC00000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0"/>
      <color rgb="FF006100"/>
      <name val="BIZ UDPゴシック"/>
      <family val="3"/>
      <charset val="128"/>
    </font>
    <font>
      <sz val="10"/>
      <color rgb="FF806000"/>
      <name val="BIZ UDPゴシック"/>
      <family val="3"/>
      <charset val="128"/>
    </font>
    <font>
      <sz val="10"/>
      <color rgb="FF9C0006"/>
      <name val="BIZ UDP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4472C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548235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/>
    <xf numFmtId="176" fontId="2" fillId="0" borderId="1" xfId="0" applyNumberFormat="1" applyFont="1" applyBorder="1"/>
    <xf numFmtId="0" fontId="2" fillId="0" borderId="2" xfId="0" applyFont="1" applyBorder="1"/>
    <xf numFmtId="176" fontId="2" fillId="0" borderId="2" xfId="0" applyNumberFormat="1" applyFont="1" applyBorder="1"/>
    <xf numFmtId="0" fontId="3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6" fontId="2" fillId="0" borderId="2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176" fontId="2" fillId="3" borderId="2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176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176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176" fontId="2" fillId="5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176" fontId="2" fillId="6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wrapText="1"/>
    </xf>
    <xf numFmtId="176" fontId="2" fillId="7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wrapText="1"/>
    </xf>
    <xf numFmtId="176" fontId="2" fillId="8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wrapText="1"/>
    </xf>
    <xf numFmtId="176" fontId="2" fillId="9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 vertical="center"/>
    </xf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20" fontId="2" fillId="0" borderId="1" xfId="0" applyNumberFormat="1" applyFont="1" applyBorder="1"/>
    <xf numFmtId="20" fontId="2" fillId="0" borderId="2" xfId="0" applyNumberFormat="1" applyFont="1" applyBorder="1"/>
    <xf numFmtId="0" fontId="3" fillId="5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6" fillId="11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8" fillId="12" borderId="1" xfId="0" applyFont="1" applyFill="1" applyBorder="1" applyAlignment="1">
      <alignment wrapText="1"/>
    </xf>
  </cellXfs>
  <cellStyles count="1">
    <cellStyle name="標準" xfId="0" builtinId="0"/>
  </cellStyles>
  <dxfs count="5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806000"/>
      </font>
      <fill>
        <patternFill patternType="solid">
          <fgColor indexed="64"/>
          <bgColor rgb="FFFFF2CC"/>
        </patternFill>
      </fill>
    </dxf>
    <dxf>
      <font>
        <color rgb="FF595959"/>
      </font>
      <fill>
        <patternFill patternType="solid">
          <fgColor indexed="64"/>
          <bgColor rgb="FFF2F2F2"/>
        </patternFill>
      </fill>
    </dxf>
    <dxf>
      <font>
        <color rgb="FF002060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C41CFA-8C3F-4B37-93AD-7EB8F26FA36F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  <we:property name="claude.fileId" value="&quot;6bef3bb2-c484-4386-b1de-d1d2ef8f423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N31"/>
  <sheetViews>
    <sheetView tabSelected="1" topLeftCell="C1" workbookViewId="0">
      <pane ySplit="1" topLeftCell="A2" activePane="bottomLeft" state="frozen"/>
      <selection pane="bottomLeft" activeCell="K24" sqref="K24"/>
    </sheetView>
  </sheetViews>
  <sheetFormatPr defaultRowHeight="18" x14ac:dyDescent="0.55000000000000004"/>
  <cols>
    <col min="1" max="1" width="13.1640625" bestFit="1" customWidth="1"/>
    <col min="2" max="2" width="15.9140625" bestFit="1" customWidth="1"/>
    <col min="3" max="3" width="25" customWidth="1"/>
    <col min="4" max="4" width="30" customWidth="1"/>
    <col min="5" max="5" width="33.33203125" customWidth="1"/>
    <col min="6" max="6" width="23.33203125" customWidth="1"/>
    <col min="7" max="8" width="13.33203125" bestFit="1" customWidth="1"/>
    <col min="9" max="9" width="9.33203125" bestFit="1" customWidth="1"/>
    <col min="10" max="10" width="14.4140625" bestFit="1" customWidth="1"/>
    <col min="11" max="11" width="33.33203125" customWidth="1"/>
    <col min="12" max="12" width="14.33203125" bestFit="1" customWidth="1"/>
    <col min="13" max="13" width="8.58203125" bestFit="1" customWidth="1"/>
    <col min="14" max="14" width="33.33203125" customWidth="1"/>
  </cols>
  <sheetData>
    <row r="1" spans="1:14" ht="30" customHeight="1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55000000000000004">
      <c r="A2" s="12" t="s">
        <v>14</v>
      </c>
      <c r="B2" s="12">
        <v>1</v>
      </c>
      <c r="C2" s="13" t="s">
        <v>15</v>
      </c>
      <c r="D2" s="14" t="s">
        <v>16</v>
      </c>
      <c r="E2" s="14" t="s">
        <v>17</v>
      </c>
      <c r="F2" s="14" t="s">
        <v>18</v>
      </c>
      <c r="G2" s="15">
        <v>45931</v>
      </c>
      <c r="H2" s="15">
        <v>45931</v>
      </c>
      <c r="I2" s="12">
        <f>H2-G2+1</f>
        <v>1</v>
      </c>
      <c r="J2" s="13" t="s">
        <v>19</v>
      </c>
      <c r="K2" s="14" t="s">
        <v>20</v>
      </c>
      <c r="L2" s="12" t="s">
        <v>352</v>
      </c>
      <c r="M2" s="44" t="s">
        <v>21</v>
      </c>
      <c r="N2" s="14" t="s">
        <v>22</v>
      </c>
    </row>
    <row r="3" spans="1:14" ht="27" x14ac:dyDescent="0.55000000000000004">
      <c r="A3" s="16" t="s">
        <v>23</v>
      </c>
      <c r="B3" s="16"/>
      <c r="C3" s="17"/>
      <c r="D3" s="18" t="s">
        <v>24</v>
      </c>
      <c r="E3" s="18" t="s">
        <v>25</v>
      </c>
      <c r="F3" s="18" t="s">
        <v>26</v>
      </c>
      <c r="G3" s="19">
        <v>45931</v>
      </c>
      <c r="H3" s="19">
        <v>45931</v>
      </c>
      <c r="I3" s="16">
        <f t="shared" ref="I3:I31" si="0">H3-G3+1</f>
        <v>1</v>
      </c>
      <c r="J3" s="17" t="s">
        <v>14</v>
      </c>
      <c r="K3" s="18" t="s">
        <v>27</v>
      </c>
      <c r="L3" s="16" t="s">
        <v>352</v>
      </c>
      <c r="M3" s="45" t="s">
        <v>21</v>
      </c>
      <c r="N3" s="18" t="s">
        <v>28</v>
      </c>
    </row>
    <row r="4" spans="1:14" x14ac:dyDescent="0.55000000000000004">
      <c r="A4" s="16" t="s">
        <v>29</v>
      </c>
      <c r="B4" s="16"/>
      <c r="C4" s="17"/>
      <c r="D4" s="18" t="s">
        <v>30</v>
      </c>
      <c r="E4" s="18" t="s">
        <v>31</v>
      </c>
      <c r="F4" s="18" t="s">
        <v>32</v>
      </c>
      <c r="G4" s="19">
        <v>45931</v>
      </c>
      <c r="H4" s="19">
        <v>45932</v>
      </c>
      <c r="I4" s="16">
        <f t="shared" si="0"/>
        <v>2</v>
      </c>
      <c r="J4" s="17" t="s">
        <v>23</v>
      </c>
      <c r="K4" s="18" t="s">
        <v>33</v>
      </c>
      <c r="L4" s="16" t="s">
        <v>352</v>
      </c>
      <c r="M4" s="45" t="s">
        <v>21</v>
      </c>
      <c r="N4" s="18"/>
    </row>
    <row r="5" spans="1:14" x14ac:dyDescent="0.55000000000000004">
      <c r="A5" s="16" t="s">
        <v>34</v>
      </c>
      <c r="B5" s="16"/>
      <c r="C5" s="17"/>
      <c r="D5" s="18" t="s">
        <v>35</v>
      </c>
      <c r="E5" s="18" t="s">
        <v>36</v>
      </c>
      <c r="F5" s="18" t="s">
        <v>37</v>
      </c>
      <c r="G5" s="19">
        <v>45931</v>
      </c>
      <c r="H5" s="19">
        <v>45933</v>
      </c>
      <c r="I5" s="16">
        <f t="shared" si="0"/>
        <v>3</v>
      </c>
      <c r="J5" s="17" t="s">
        <v>23</v>
      </c>
      <c r="K5" s="18" t="s">
        <v>38</v>
      </c>
      <c r="L5" s="16" t="s">
        <v>352</v>
      </c>
      <c r="M5" s="16"/>
      <c r="N5" s="18"/>
    </row>
    <row r="6" spans="1:14" ht="27" x14ac:dyDescent="0.55000000000000004">
      <c r="A6" s="16" t="s">
        <v>39</v>
      </c>
      <c r="B6" s="16"/>
      <c r="C6" s="17"/>
      <c r="D6" s="18" t="s">
        <v>40</v>
      </c>
      <c r="E6" s="18" t="s">
        <v>41</v>
      </c>
      <c r="F6" s="18" t="s">
        <v>18</v>
      </c>
      <c r="G6" s="19">
        <v>45931</v>
      </c>
      <c r="H6" s="19">
        <v>45933</v>
      </c>
      <c r="I6" s="16">
        <f t="shared" si="0"/>
        <v>3</v>
      </c>
      <c r="J6" s="17" t="s">
        <v>23</v>
      </c>
      <c r="K6" s="18" t="s">
        <v>42</v>
      </c>
      <c r="L6" s="16" t="s">
        <v>352</v>
      </c>
      <c r="M6" s="16"/>
      <c r="N6" s="18" t="s">
        <v>43</v>
      </c>
    </row>
    <row r="7" spans="1:14" ht="27" x14ac:dyDescent="0.55000000000000004">
      <c r="A7" s="16" t="s">
        <v>44</v>
      </c>
      <c r="B7" s="16"/>
      <c r="C7" s="17"/>
      <c r="D7" s="18" t="s">
        <v>45</v>
      </c>
      <c r="E7" s="18" t="s">
        <v>46</v>
      </c>
      <c r="F7" s="18" t="s">
        <v>26</v>
      </c>
      <c r="G7" s="19">
        <v>45931</v>
      </c>
      <c r="H7" s="19">
        <v>45938</v>
      </c>
      <c r="I7" s="16">
        <f t="shared" si="0"/>
        <v>8</v>
      </c>
      <c r="J7" s="17" t="s">
        <v>14</v>
      </c>
      <c r="K7" s="18" t="s">
        <v>47</v>
      </c>
      <c r="L7" s="16" t="s">
        <v>352</v>
      </c>
      <c r="M7" s="16"/>
      <c r="N7" s="18" t="s">
        <v>355</v>
      </c>
    </row>
    <row r="8" spans="1:14" x14ac:dyDescent="0.55000000000000004">
      <c r="A8" s="20" t="s">
        <v>48</v>
      </c>
      <c r="B8" s="20">
        <v>2</v>
      </c>
      <c r="C8" s="21" t="s">
        <v>49</v>
      </c>
      <c r="D8" s="22" t="s">
        <v>50</v>
      </c>
      <c r="E8" s="22" t="s">
        <v>51</v>
      </c>
      <c r="F8" s="22" t="s">
        <v>32</v>
      </c>
      <c r="G8" s="23">
        <v>45932</v>
      </c>
      <c r="H8" s="23">
        <v>45937</v>
      </c>
      <c r="I8" s="20">
        <f t="shared" si="0"/>
        <v>6</v>
      </c>
      <c r="J8" s="21" t="s">
        <v>52</v>
      </c>
      <c r="K8" s="22" t="s">
        <v>53</v>
      </c>
      <c r="L8" s="20" t="s">
        <v>352</v>
      </c>
      <c r="M8" s="46" t="s">
        <v>21</v>
      </c>
      <c r="N8" s="22"/>
    </row>
    <row r="9" spans="1:14" x14ac:dyDescent="0.55000000000000004">
      <c r="A9" s="20" t="s">
        <v>54</v>
      </c>
      <c r="B9" s="20"/>
      <c r="C9" s="21"/>
      <c r="D9" s="22" t="s">
        <v>55</v>
      </c>
      <c r="E9" s="22" t="s">
        <v>56</v>
      </c>
      <c r="F9" s="22" t="s">
        <v>57</v>
      </c>
      <c r="G9" s="23">
        <v>45936</v>
      </c>
      <c r="H9" s="23">
        <v>45940</v>
      </c>
      <c r="I9" s="20">
        <f t="shared" si="0"/>
        <v>5</v>
      </c>
      <c r="J9" s="21" t="s">
        <v>48</v>
      </c>
      <c r="K9" s="22" t="s">
        <v>58</v>
      </c>
      <c r="L9" s="20" t="s">
        <v>352</v>
      </c>
      <c r="M9" s="46" t="s">
        <v>21</v>
      </c>
      <c r="N9" s="22"/>
    </row>
    <row r="10" spans="1:14" x14ac:dyDescent="0.55000000000000004">
      <c r="A10" s="20" t="s">
        <v>59</v>
      </c>
      <c r="B10" s="20"/>
      <c r="C10" s="21"/>
      <c r="D10" s="22" t="s">
        <v>60</v>
      </c>
      <c r="E10" s="22" t="s">
        <v>61</v>
      </c>
      <c r="F10" s="22" t="s">
        <v>62</v>
      </c>
      <c r="G10" s="23">
        <v>45936</v>
      </c>
      <c r="H10" s="23">
        <v>45940</v>
      </c>
      <c r="I10" s="20">
        <f t="shared" si="0"/>
        <v>5</v>
      </c>
      <c r="J10" s="21" t="s">
        <v>63</v>
      </c>
      <c r="K10" s="22" t="s">
        <v>64</v>
      </c>
      <c r="L10" s="20" t="s">
        <v>352</v>
      </c>
      <c r="M10" s="20"/>
      <c r="N10" s="22"/>
    </row>
    <row r="11" spans="1:14" x14ac:dyDescent="0.55000000000000004">
      <c r="A11" s="20" t="s">
        <v>65</v>
      </c>
      <c r="B11" s="20"/>
      <c r="C11" s="21"/>
      <c r="D11" s="22" t="s">
        <v>66</v>
      </c>
      <c r="E11" s="22" t="s">
        <v>67</v>
      </c>
      <c r="F11" s="22" t="s">
        <v>68</v>
      </c>
      <c r="G11" s="23">
        <v>45943</v>
      </c>
      <c r="H11" s="23">
        <v>45944</v>
      </c>
      <c r="I11" s="20">
        <f t="shared" si="0"/>
        <v>2</v>
      </c>
      <c r="J11" s="21" t="s">
        <v>69</v>
      </c>
      <c r="K11" s="22" t="s">
        <v>70</v>
      </c>
      <c r="L11" s="20" t="s">
        <v>352</v>
      </c>
      <c r="M11" s="46" t="s">
        <v>21</v>
      </c>
      <c r="N11" s="22" t="s">
        <v>71</v>
      </c>
    </row>
    <row r="12" spans="1:14" x14ac:dyDescent="0.55000000000000004">
      <c r="A12" s="24" t="s">
        <v>72</v>
      </c>
      <c r="B12" s="24">
        <v>3</v>
      </c>
      <c r="C12" s="25" t="s">
        <v>73</v>
      </c>
      <c r="D12" s="26" t="s">
        <v>74</v>
      </c>
      <c r="E12" s="26" t="s">
        <v>75</v>
      </c>
      <c r="F12" s="26" t="s">
        <v>76</v>
      </c>
      <c r="G12" s="27">
        <v>45945</v>
      </c>
      <c r="H12" s="27">
        <v>45947</v>
      </c>
      <c r="I12" s="24">
        <f t="shared" si="0"/>
        <v>3</v>
      </c>
      <c r="J12" s="25" t="s">
        <v>65</v>
      </c>
      <c r="K12" s="26" t="s">
        <v>77</v>
      </c>
      <c r="L12" s="24" t="s">
        <v>352</v>
      </c>
      <c r="M12" s="47" t="s">
        <v>21</v>
      </c>
      <c r="N12" s="26"/>
    </row>
    <row r="13" spans="1:14" x14ac:dyDescent="0.55000000000000004">
      <c r="A13" s="24" t="s">
        <v>78</v>
      </c>
      <c r="B13" s="24"/>
      <c r="C13" s="25"/>
      <c r="D13" s="26" t="s">
        <v>79</v>
      </c>
      <c r="E13" s="26" t="s">
        <v>80</v>
      </c>
      <c r="F13" s="26" t="s">
        <v>32</v>
      </c>
      <c r="G13" s="27">
        <v>45945</v>
      </c>
      <c r="H13" s="27">
        <v>45947</v>
      </c>
      <c r="I13" s="24">
        <f t="shared" si="0"/>
        <v>3</v>
      </c>
      <c r="J13" s="25" t="s">
        <v>72</v>
      </c>
      <c r="K13" s="26" t="s">
        <v>81</v>
      </c>
      <c r="L13" s="24" t="s">
        <v>352</v>
      </c>
      <c r="M13" s="47" t="s">
        <v>21</v>
      </c>
      <c r="N13" s="26" t="s">
        <v>82</v>
      </c>
    </row>
    <row r="14" spans="1:14" x14ac:dyDescent="0.55000000000000004">
      <c r="A14" s="24" t="s">
        <v>83</v>
      </c>
      <c r="B14" s="24"/>
      <c r="C14" s="25"/>
      <c r="D14" s="26" t="s">
        <v>84</v>
      </c>
      <c r="E14" s="26" t="s">
        <v>85</v>
      </c>
      <c r="F14" s="26" t="s">
        <v>57</v>
      </c>
      <c r="G14" s="27">
        <v>45946</v>
      </c>
      <c r="H14" s="27">
        <v>45950</v>
      </c>
      <c r="I14" s="24">
        <f t="shared" si="0"/>
        <v>5</v>
      </c>
      <c r="J14" s="25" t="s">
        <v>86</v>
      </c>
      <c r="K14" s="26" t="s">
        <v>87</v>
      </c>
      <c r="L14" s="24" t="s">
        <v>352</v>
      </c>
      <c r="M14" s="47" t="s">
        <v>21</v>
      </c>
      <c r="N14" s="26"/>
    </row>
    <row r="15" spans="1:14" x14ac:dyDescent="0.55000000000000004">
      <c r="A15" s="24" t="s">
        <v>88</v>
      </c>
      <c r="B15" s="24"/>
      <c r="C15" s="25"/>
      <c r="D15" s="26" t="s">
        <v>89</v>
      </c>
      <c r="E15" s="26" t="s">
        <v>90</v>
      </c>
      <c r="F15" s="26" t="s">
        <v>57</v>
      </c>
      <c r="G15" s="27">
        <v>45947</v>
      </c>
      <c r="H15" s="27">
        <v>45951</v>
      </c>
      <c r="I15" s="24">
        <f t="shared" si="0"/>
        <v>5</v>
      </c>
      <c r="J15" s="25" t="s">
        <v>83</v>
      </c>
      <c r="K15" s="26" t="s">
        <v>91</v>
      </c>
      <c r="L15" s="24" t="s">
        <v>352</v>
      </c>
      <c r="M15" s="47" t="s">
        <v>21</v>
      </c>
      <c r="N15" s="26"/>
    </row>
    <row r="16" spans="1:14" ht="27" x14ac:dyDescent="0.55000000000000004">
      <c r="A16" s="24" t="s">
        <v>92</v>
      </c>
      <c r="B16" s="24"/>
      <c r="C16" s="25"/>
      <c r="D16" s="26" t="s">
        <v>93</v>
      </c>
      <c r="E16" s="26" t="s">
        <v>94</v>
      </c>
      <c r="F16" s="26" t="s">
        <v>95</v>
      </c>
      <c r="G16" s="27">
        <v>45951</v>
      </c>
      <c r="H16" s="27">
        <v>45951</v>
      </c>
      <c r="I16" s="24">
        <f t="shared" si="0"/>
        <v>1</v>
      </c>
      <c r="J16" s="25" t="s">
        <v>96</v>
      </c>
      <c r="K16" s="26" t="s">
        <v>97</v>
      </c>
      <c r="L16" s="24" t="s">
        <v>352</v>
      </c>
      <c r="M16" s="47" t="s">
        <v>21</v>
      </c>
      <c r="N16" s="26" t="s">
        <v>98</v>
      </c>
    </row>
    <row r="17" spans="1:14" x14ac:dyDescent="0.55000000000000004">
      <c r="A17" s="28" t="s">
        <v>99</v>
      </c>
      <c r="B17" s="28">
        <v>4</v>
      </c>
      <c r="C17" s="29" t="s">
        <v>100</v>
      </c>
      <c r="D17" s="30" t="s">
        <v>101</v>
      </c>
      <c r="E17" s="30" t="s">
        <v>102</v>
      </c>
      <c r="F17" s="30" t="s">
        <v>57</v>
      </c>
      <c r="G17" s="31">
        <v>45952</v>
      </c>
      <c r="H17" s="31">
        <v>45954</v>
      </c>
      <c r="I17" s="28">
        <f t="shared" si="0"/>
        <v>3</v>
      </c>
      <c r="J17" s="29" t="s">
        <v>92</v>
      </c>
      <c r="K17" s="30" t="s">
        <v>103</v>
      </c>
      <c r="L17" s="28" t="s">
        <v>352</v>
      </c>
      <c r="M17" s="48" t="s">
        <v>21</v>
      </c>
      <c r="N17" s="30"/>
    </row>
    <row r="18" spans="1:14" x14ac:dyDescent="0.55000000000000004">
      <c r="A18" s="28" t="s">
        <v>104</v>
      </c>
      <c r="B18" s="28"/>
      <c r="C18" s="29"/>
      <c r="D18" s="30" t="s">
        <v>105</v>
      </c>
      <c r="E18" s="30" t="s">
        <v>106</v>
      </c>
      <c r="F18" s="30" t="s">
        <v>107</v>
      </c>
      <c r="G18" s="31">
        <v>45952</v>
      </c>
      <c r="H18" s="31">
        <v>45957</v>
      </c>
      <c r="I18" s="28">
        <f t="shared" si="0"/>
        <v>6</v>
      </c>
      <c r="J18" s="29" t="s">
        <v>99</v>
      </c>
      <c r="K18" s="30" t="s">
        <v>108</v>
      </c>
      <c r="L18" s="28" t="s">
        <v>352</v>
      </c>
      <c r="M18" s="28"/>
      <c r="N18" s="30"/>
    </row>
    <row r="19" spans="1:14" x14ac:dyDescent="0.55000000000000004">
      <c r="A19" s="28" t="s">
        <v>109</v>
      </c>
      <c r="B19" s="28"/>
      <c r="C19" s="29"/>
      <c r="D19" s="30" t="s">
        <v>110</v>
      </c>
      <c r="E19" s="30" t="s">
        <v>111</v>
      </c>
      <c r="F19" s="30" t="s">
        <v>112</v>
      </c>
      <c r="G19" s="31">
        <v>45954</v>
      </c>
      <c r="H19" s="31">
        <v>45957</v>
      </c>
      <c r="I19" s="28">
        <f t="shared" si="0"/>
        <v>4</v>
      </c>
      <c r="J19" s="29" t="s">
        <v>99</v>
      </c>
      <c r="K19" s="30" t="s">
        <v>113</v>
      </c>
      <c r="L19" s="28" t="s">
        <v>352</v>
      </c>
      <c r="M19" s="28"/>
      <c r="N19" s="30" t="s">
        <v>43</v>
      </c>
    </row>
    <row r="20" spans="1:14" x14ac:dyDescent="0.55000000000000004">
      <c r="A20" s="28" t="s">
        <v>114</v>
      </c>
      <c r="B20" s="28"/>
      <c r="C20" s="29"/>
      <c r="D20" s="30" t="s">
        <v>115</v>
      </c>
      <c r="E20" s="30" t="s">
        <v>116</v>
      </c>
      <c r="F20" s="30" t="s">
        <v>117</v>
      </c>
      <c r="G20" s="31">
        <v>45954</v>
      </c>
      <c r="H20" s="31">
        <v>45958</v>
      </c>
      <c r="I20" s="28">
        <f t="shared" si="0"/>
        <v>5</v>
      </c>
      <c r="J20" s="29" t="s">
        <v>118</v>
      </c>
      <c r="K20" s="30" t="s">
        <v>119</v>
      </c>
      <c r="L20" s="28" t="s">
        <v>352</v>
      </c>
      <c r="M20" s="48" t="s">
        <v>21</v>
      </c>
      <c r="N20" s="30"/>
    </row>
    <row r="21" spans="1:14" ht="27" x14ac:dyDescent="0.55000000000000004">
      <c r="A21" s="32" t="s">
        <v>120</v>
      </c>
      <c r="B21" s="32">
        <v>5</v>
      </c>
      <c r="C21" s="33" t="s">
        <v>121</v>
      </c>
      <c r="D21" s="34" t="s">
        <v>122</v>
      </c>
      <c r="E21" s="34" t="s">
        <v>123</v>
      </c>
      <c r="F21" s="34" t="s">
        <v>26</v>
      </c>
      <c r="G21" s="35">
        <v>45959</v>
      </c>
      <c r="H21" s="35">
        <v>45959</v>
      </c>
      <c r="I21" s="32">
        <f t="shared" si="0"/>
        <v>1</v>
      </c>
      <c r="J21" s="33" t="s">
        <v>114</v>
      </c>
      <c r="K21" s="34" t="s">
        <v>124</v>
      </c>
      <c r="L21" s="32" t="s">
        <v>352</v>
      </c>
      <c r="M21" s="49" t="s">
        <v>21</v>
      </c>
      <c r="N21" s="34" t="s">
        <v>125</v>
      </c>
    </row>
    <row r="22" spans="1:14" ht="27" x14ac:dyDescent="0.55000000000000004">
      <c r="A22" s="32" t="s">
        <v>126</v>
      </c>
      <c r="B22" s="32"/>
      <c r="C22" s="33"/>
      <c r="D22" s="34" t="s">
        <v>127</v>
      </c>
      <c r="E22" s="34" t="s">
        <v>128</v>
      </c>
      <c r="F22" s="34" t="s">
        <v>26</v>
      </c>
      <c r="G22" s="35">
        <v>45960</v>
      </c>
      <c r="H22" s="35">
        <v>45960</v>
      </c>
      <c r="I22" s="32">
        <f t="shared" si="0"/>
        <v>1</v>
      </c>
      <c r="J22" s="33" t="s">
        <v>120</v>
      </c>
      <c r="K22" s="34" t="s">
        <v>129</v>
      </c>
      <c r="L22" s="32" t="s">
        <v>352</v>
      </c>
      <c r="M22" s="49" t="s">
        <v>21</v>
      </c>
      <c r="N22" s="34" t="s">
        <v>130</v>
      </c>
    </row>
    <row r="23" spans="1:14" x14ac:dyDescent="0.55000000000000004">
      <c r="A23" s="32" t="s">
        <v>131</v>
      </c>
      <c r="B23" s="32"/>
      <c r="C23" s="33"/>
      <c r="D23" s="34" t="s">
        <v>132</v>
      </c>
      <c r="E23" s="34" t="s">
        <v>133</v>
      </c>
      <c r="F23" s="34" t="s">
        <v>107</v>
      </c>
      <c r="G23" s="35">
        <v>45960</v>
      </c>
      <c r="H23" s="35">
        <v>45961</v>
      </c>
      <c r="I23" s="32">
        <f t="shared" si="0"/>
        <v>2</v>
      </c>
      <c r="J23" s="33" t="s">
        <v>134</v>
      </c>
      <c r="K23" s="34" t="s">
        <v>135</v>
      </c>
      <c r="L23" s="32" t="s">
        <v>352</v>
      </c>
      <c r="M23" s="49" t="s">
        <v>21</v>
      </c>
      <c r="N23" s="34" t="s">
        <v>136</v>
      </c>
    </row>
    <row r="24" spans="1:14" x14ac:dyDescent="0.55000000000000004">
      <c r="A24" s="36" t="s">
        <v>137</v>
      </c>
      <c r="B24" s="36">
        <v>6</v>
      </c>
      <c r="C24" s="37" t="s">
        <v>138</v>
      </c>
      <c r="D24" s="38" t="s">
        <v>139</v>
      </c>
      <c r="E24" s="38" t="s">
        <v>140</v>
      </c>
      <c r="F24" s="38" t="s">
        <v>57</v>
      </c>
      <c r="G24" s="39">
        <v>45962</v>
      </c>
      <c r="H24" s="39">
        <v>45966</v>
      </c>
      <c r="I24" s="36">
        <f t="shared" si="0"/>
        <v>5</v>
      </c>
      <c r="J24" s="37" t="s">
        <v>131</v>
      </c>
      <c r="K24" s="38" t="s">
        <v>141</v>
      </c>
      <c r="L24" s="36" t="s">
        <v>352</v>
      </c>
      <c r="M24" s="50" t="s">
        <v>21</v>
      </c>
      <c r="N24" s="38"/>
    </row>
    <row r="25" spans="1:14" x14ac:dyDescent="0.55000000000000004">
      <c r="A25" s="36" t="s">
        <v>142</v>
      </c>
      <c r="B25" s="36"/>
      <c r="C25" s="37"/>
      <c r="D25" s="38" t="s">
        <v>143</v>
      </c>
      <c r="E25" s="38" t="s">
        <v>144</v>
      </c>
      <c r="F25" s="38" t="s">
        <v>37</v>
      </c>
      <c r="G25" s="39">
        <v>45964</v>
      </c>
      <c r="H25" s="39">
        <v>45968</v>
      </c>
      <c r="I25" s="36">
        <f t="shared" si="0"/>
        <v>5</v>
      </c>
      <c r="J25" s="37" t="s">
        <v>137</v>
      </c>
      <c r="K25" s="38" t="s">
        <v>145</v>
      </c>
      <c r="L25" s="36" t="s">
        <v>352</v>
      </c>
      <c r="M25" s="50" t="s">
        <v>21</v>
      </c>
      <c r="N25" s="38"/>
    </row>
    <row r="26" spans="1:14" x14ac:dyDescent="0.55000000000000004">
      <c r="A26" s="36" t="s">
        <v>146</v>
      </c>
      <c r="B26" s="36"/>
      <c r="C26" s="37"/>
      <c r="D26" s="38" t="s">
        <v>147</v>
      </c>
      <c r="E26" s="38" t="s">
        <v>148</v>
      </c>
      <c r="F26" s="38" t="s">
        <v>149</v>
      </c>
      <c r="G26" s="39">
        <v>45964</v>
      </c>
      <c r="H26" s="39">
        <v>45968</v>
      </c>
      <c r="I26" s="36">
        <f t="shared" si="0"/>
        <v>5</v>
      </c>
      <c r="J26" s="37" t="s">
        <v>137</v>
      </c>
      <c r="K26" s="38" t="s">
        <v>150</v>
      </c>
      <c r="L26" s="36" t="s">
        <v>352</v>
      </c>
      <c r="M26" s="36"/>
      <c r="N26" s="38" t="s">
        <v>43</v>
      </c>
    </row>
    <row r="27" spans="1:14" ht="27" x14ac:dyDescent="0.55000000000000004">
      <c r="A27" s="36" t="s">
        <v>151</v>
      </c>
      <c r="B27" s="36"/>
      <c r="C27" s="37"/>
      <c r="D27" s="38" t="s">
        <v>152</v>
      </c>
      <c r="E27" s="38" t="s">
        <v>153</v>
      </c>
      <c r="F27" s="38" t="s">
        <v>95</v>
      </c>
      <c r="G27" s="39">
        <v>45969</v>
      </c>
      <c r="H27" s="39">
        <v>45971</v>
      </c>
      <c r="I27" s="36">
        <f t="shared" si="0"/>
        <v>3</v>
      </c>
      <c r="J27" s="37" t="s">
        <v>154</v>
      </c>
      <c r="K27" s="38" t="s">
        <v>155</v>
      </c>
      <c r="L27" s="36" t="s">
        <v>352</v>
      </c>
      <c r="M27" s="50" t="s">
        <v>21</v>
      </c>
      <c r="N27" s="38" t="s">
        <v>156</v>
      </c>
    </row>
    <row r="28" spans="1:14" ht="27" x14ac:dyDescent="0.55000000000000004">
      <c r="A28" s="36" t="s">
        <v>157</v>
      </c>
      <c r="B28" s="36"/>
      <c r="C28" s="37"/>
      <c r="D28" s="38" t="s">
        <v>158</v>
      </c>
      <c r="E28" s="38" t="s">
        <v>159</v>
      </c>
      <c r="F28" s="38" t="s">
        <v>26</v>
      </c>
      <c r="G28" s="39">
        <v>45972</v>
      </c>
      <c r="H28" s="39">
        <v>45972</v>
      </c>
      <c r="I28" s="36">
        <f t="shared" si="0"/>
        <v>1</v>
      </c>
      <c r="J28" s="37" t="s">
        <v>151</v>
      </c>
      <c r="K28" s="38" t="s">
        <v>160</v>
      </c>
      <c r="L28" s="36" t="s">
        <v>352</v>
      </c>
      <c r="M28" s="50" t="s">
        <v>21</v>
      </c>
      <c r="N28" s="38" t="s">
        <v>161</v>
      </c>
    </row>
    <row r="29" spans="1:14" ht="27" x14ac:dyDescent="0.55000000000000004">
      <c r="A29" s="40" t="s">
        <v>162</v>
      </c>
      <c r="B29" s="40">
        <v>7</v>
      </c>
      <c r="C29" s="41" t="s">
        <v>163</v>
      </c>
      <c r="D29" s="42" t="s">
        <v>164</v>
      </c>
      <c r="E29" s="42" t="s">
        <v>165</v>
      </c>
      <c r="F29" s="42" t="s">
        <v>18</v>
      </c>
      <c r="G29" s="43">
        <v>45973</v>
      </c>
      <c r="H29" s="43">
        <v>45973</v>
      </c>
      <c r="I29" s="40">
        <f t="shared" si="0"/>
        <v>1</v>
      </c>
      <c r="J29" s="41" t="s">
        <v>157</v>
      </c>
      <c r="K29" s="42" t="s">
        <v>166</v>
      </c>
      <c r="L29" s="40" t="s">
        <v>352</v>
      </c>
      <c r="M29" s="40"/>
      <c r="N29" s="42" t="s">
        <v>167</v>
      </c>
    </row>
    <row r="30" spans="1:14" ht="27" x14ac:dyDescent="0.55000000000000004">
      <c r="A30" s="40" t="s">
        <v>168</v>
      </c>
      <c r="B30" s="40"/>
      <c r="C30" s="41"/>
      <c r="D30" s="42" t="s">
        <v>169</v>
      </c>
      <c r="E30" s="42" t="s">
        <v>170</v>
      </c>
      <c r="F30" s="42" t="s">
        <v>26</v>
      </c>
      <c r="G30" s="43">
        <v>45973</v>
      </c>
      <c r="H30" s="43">
        <v>45979</v>
      </c>
      <c r="I30" s="40">
        <f t="shared" si="0"/>
        <v>7</v>
      </c>
      <c r="J30" s="41" t="s">
        <v>162</v>
      </c>
      <c r="K30" s="42" t="s">
        <v>171</v>
      </c>
      <c r="L30" s="40" t="s">
        <v>352</v>
      </c>
      <c r="M30" s="40"/>
      <c r="N30" s="42" t="s">
        <v>354</v>
      </c>
    </row>
    <row r="31" spans="1:14" x14ac:dyDescent="0.55000000000000004">
      <c r="A31" s="40" t="s">
        <v>172</v>
      </c>
      <c r="B31" s="40"/>
      <c r="C31" s="41"/>
      <c r="D31" s="42" t="s">
        <v>173</v>
      </c>
      <c r="E31" s="42" t="s">
        <v>174</v>
      </c>
      <c r="F31" s="42" t="s">
        <v>18</v>
      </c>
      <c r="G31" s="43">
        <v>45979</v>
      </c>
      <c r="H31" s="43">
        <v>45979</v>
      </c>
      <c r="I31" s="40">
        <f t="shared" si="0"/>
        <v>1</v>
      </c>
      <c r="J31" s="41" t="s">
        <v>168</v>
      </c>
      <c r="K31" s="42" t="s">
        <v>175</v>
      </c>
      <c r="L31" s="40" t="s">
        <v>352</v>
      </c>
      <c r="M31" s="40"/>
      <c r="N31" s="42"/>
    </row>
  </sheetData>
  <autoFilter ref="A1:N31" xr:uid="{00000000-0001-0000-0000-000000000000}"/>
  <phoneticPr fontId="1"/>
  <conditionalFormatting sqref="L2:L31">
    <cfRule type="containsText" dxfId="4" priority="1" operator="containsText" text="完了">
      <formula>NOT(ISERROR(SEARCH("完了",L2)))</formula>
    </cfRule>
    <cfRule type="containsText" dxfId="3" priority="2" operator="containsText" text="進行中">
      <formula>NOT(ISERROR(SEARCH("進行中",L2)))</formula>
    </cfRule>
    <cfRule type="containsText" dxfId="2" priority="3" operator="containsText" text="未着手">
      <formula>NOT(ISERROR(SEARCH("未着手",L2)))</formula>
    </cfRule>
    <cfRule type="containsText" dxfId="1" priority="4" operator="containsText" text="保留">
      <formula>NOT(ISERROR(SEARCH("保留",L2)))</formula>
    </cfRule>
    <cfRule type="containsText" dxfId="0" priority="5" operator="containsText" text="中止">
      <formula>NOT(ISERROR(SEARCH("中止",L2)))</formula>
    </cfRule>
  </conditionalFormatting>
  <dataValidations count="1">
    <dataValidation type="list" allowBlank="1" showInputMessage="1" showErrorMessage="1" promptTitle="ステータス選択" prompt="タスクの進捗状況を選択してください" sqref="L2:L31" xr:uid="{DB0E4279-D99E-4926-B065-BDB5F4C6D531}">
      <formula1>"未着手,進行中,完了,保留,中止"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448D-7BE7-4955-9717-244EEDC04D07}">
  <sheetPr>
    <tabColor rgb="FF548235"/>
  </sheetPr>
  <dimension ref="A1:G10"/>
  <sheetViews>
    <sheetView workbookViewId="0">
      <pane ySplit="1" topLeftCell="A2" activePane="bottomLeft" state="frozen"/>
      <selection pane="bottomLeft" activeCell="E7" sqref="E7"/>
    </sheetView>
  </sheetViews>
  <sheetFormatPr defaultRowHeight="18" x14ac:dyDescent="0.55000000000000004"/>
  <cols>
    <col min="1" max="1" width="7.6640625" bestFit="1" customWidth="1"/>
    <col min="2" max="2" width="30" customWidth="1"/>
    <col min="3" max="3" width="13.33203125" bestFit="1" customWidth="1"/>
    <col min="4" max="4" width="20.33203125" bestFit="1" customWidth="1"/>
    <col min="5" max="5" width="41.6640625" customWidth="1"/>
    <col min="6" max="6" width="10.25" bestFit="1" customWidth="1"/>
    <col min="7" max="7" width="10.1640625" bestFit="1" customWidth="1"/>
  </cols>
  <sheetData>
    <row r="1" spans="1:7" ht="30" customHeight="1" x14ac:dyDescent="0.55000000000000004">
      <c r="A1" s="51" t="s">
        <v>176</v>
      </c>
      <c r="B1" s="51" t="s">
        <v>177</v>
      </c>
      <c r="C1" s="51" t="s">
        <v>178</v>
      </c>
      <c r="D1" s="51" t="s">
        <v>179</v>
      </c>
      <c r="E1" s="51" t="s">
        <v>180</v>
      </c>
      <c r="F1" s="51" t="s">
        <v>181</v>
      </c>
      <c r="G1" s="51" t="s">
        <v>11</v>
      </c>
    </row>
    <row r="2" spans="1:7" ht="27" x14ac:dyDescent="0.55000000000000004">
      <c r="A2" s="6" t="s">
        <v>182</v>
      </c>
      <c r="B2" s="3" t="s">
        <v>183</v>
      </c>
      <c r="C2" s="8">
        <v>45931</v>
      </c>
      <c r="D2" s="3" t="s">
        <v>184</v>
      </c>
      <c r="E2" s="10" t="s">
        <v>185</v>
      </c>
      <c r="F2" s="3" t="s">
        <v>186</v>
      </c>
      <c r="G2" s="6" t="s">
        <v>353</v>
      </c>
    </row>
    <row r="3" spans="1:7" ht="27" x14ac:dyDescent="0.55000000000000004">
      <c r="A3" s="7" t="s">
        <v>187</v>
      </c>
      <c r="B3" s="1" t="s">
        <v>188</v>
      </c>
      <c r="C3" s="9">
        <v>45944</v>
      </c>
      <c r="D3" s="1" t="s">
        <v>189</v>
      </c>
      <c r="E3" s="11" t="s">
        <v>190</v>
      </c>
      <c r="F3" s="1" t="s">
        <v>65</v>
      </c>
      <c r="G3" s="7" t="s">
        <v>353</v>
      </c>
    </row>
    <row r="4" spans="1:7" ht="27" x14ac:dyDescent="0.55000000000000004">
      <c r="A4" s="7" t="s">
        <v>191</v>
      </c>
      <c r="B4" s="1" t="s">
        <v>192</v>
      </c>
      <c r="C4" s="9">
        <v>45951</v>
      </c>
      <c r="D4" s="1" t="s">
        <v>189</v>
      </c>
      <c r="E4" s="11" t="s">
        <v>193</v>
      </c>
      <c r="F4" s="1" t="s">
        <v>92</v>
      </c>
      <c r="G4" s="7" t="s">
        <v>353</v>
      </c>
    </row>
    <row r="5" spans="1:7" ht="27" x14ac:dyDescent="0.55000000000000004">
      <c r="A5" s="7" t="s">
        <v>194</v>
      </c>
      <c r="B5" s="1" t="s">
        <v>195</v>
      </c>
      <c r="C5" s="9">
        <v>45959</v>
      </c>
      <c r="D5" s="1" t="s">
        <v>196</v>
      </c>
      <c r="E5" s="11" t="s">
        <v>197</v>
      </c>
      <c r="F5" s="1" t="s">
        <v>120</v>
      </c>
      <c r="G5" s="7" t="s">
        <v>353</v>
      </c>
    </row>
    <row r="6" spans="1:7" ht="27" x14ac:dyDescent="0.55000000000000004">
      <c r="A6" s="7" t="s">
        <v>198</v>
      </c>
      <c r="B6" s="1" t="s">
        <v>199</v>
      </c>
      <c r="C6" s="9">
        <v>45960</v>
      </c>
      <c r="D6" s="1" t="s">
        <v>200</v>
      </c>
      <c r="E6" s="11" t="s">
        <v>128</v>
      </c>
      <c r="F6" s="1" t="s">
        <v>126</v>
      </c>
      <c r="G6" s="7" t="s">
        <v>353</v>
      </c>
    </row>
    <row r="7" spans="1:7" ht="27" x14ac:dyDescent="0.55000000000000004">
      <c r="A7" s="7" t="s">
        <v>201</v>
      </c>
      <c r="B7" s="1" t="s">
        <v>202</v>
      </c>
      <c r="C7" s="9">
        <v>45972</v>
      </c>
      <c r="D7" s="1" t="s">
        <v>203</v>
      </c>
      <c r="E7" s="11" t="s">
        <v>159</v>
      </c>
      <c r="F7" s="1" t="s">
        <v>157</v>
      </c>
      <c r="G7" s="7" t="s">
        <v>353</v>
      </c>
    </row>
    <row r="8" spans="1:7" x14ac:dyDescent="0.55000000000000004">
      <c r="A8" s="7" t="s">
        <v>204</v>
      </c>
      <c r="B8" s="1" t="s">
        <v>205</v>
      </c>
      <c r="C8" s="9">
        <v>45973</v>
      </c>
      <c r="D8" s="1" t="s">
        <v>206</v>
      </c>
      <c r="E8" s="11" t="s">
        <v>207</v>
      </c>
      <c r="F8" s="1" t="s">
        <v>162</v>
      </c>
      <c r="G8" s="7" t="s">
        <v>353</v>
      </c>
    </row>
    <row r="9" spans="1:7" x14ac:dyDescent="0.55000000000000004">
      <c r="A9" s="7" t="s">
        <v>208</v>
      </c>
      <c r="B9" s="1" t="s">
        <v>209</v>
      </c>
      <c r="C9" s="9">
        <v>45938</v>
      </c>
      <c r="D9" s="1" t="s">
        <v>19</v>
      </c>
      <c r="E9" s="11" t="s">
        <v>210</v>
      </c>
      <c r="F9" s="1" t="s">
        <v>44</v>
      </c>
      <c r="G9" s="7" t="s">
        <v>353</v>
      </c>
    </row>
    <row r="10" spans="1:7" x14ac:dyDescent="0.55000000000000004">
      <c r="A10" s="7" t="s">
        <v>211</v>
      </c>
      <c r="B10" s="1" t="s">
        <v>212</v>
      </c>
      <c r="C10" s="9">
        <v>45979</v>
      </c>
      <c r="D10" s="1" t="s">
        <v>19</v>
      </c>
      <c r="E10" s="11" t="s">
        <v>213</v>
      </c>
      <c r="F10" s="1" t="s">
        <v>168</v>
      </c>
      <c r="G10" s="7" t="s">
        <v>353</v>
      </c>
    </row>
  </sheetData>
  <phoneticPr fontId="1"/>
  <dataValidations count="1">
    <dataValidation type="list" allowBlank="1" showInputMessage="1" showErrorMessage="1" sqref="G2:G10" xr:uid="{690F4DE9-8B80-4646-9547-B687A25BF1EA}">
      <formula1>"未着手,進行中,完了,保留"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B737-6A63-47D7-8E3F-5BA2AD31CC58}">
  <sheetPr>
    <tabColor rgb="FF7030A0"/>
  </sheetPr>
  <dimension ref="A1:G25"/>
  <sheetViews>
    <sheetView workbookViewId="0">
      <pane ySplit="2" topLeftCell="A3" activePane="bottomLeft" state="frozen"/>
      <selection pane="bottomLeft"/>
    </sheetView>
  </sheetViews>
  <sheetFormatPr defaultRowHeight="18" x14ac:dyDescent="0.55000000000000004"/>
  <cols>
    <col min="1" max="1" width="34.9140625" bestFit="1" customWidth="1"/>
    <col min="2" max="2" width="14.25" bestFit="1" customWidth="1"/>
    <col min="3" max="3" width="23.08203125" bestFit="1" customWidth="1"/>
    <col min="4" max="4" width="38.5" bestFit="1" customWidth="1"/>
    <col min="5" max="5" width="33.33203125" customWidth="1"/>
    <col min="6" max="6" width="30" customWidth="1"/>
    <col min="7" max="7" width="8.33203125" bestFit="1" customWidth="1"/>
  </cols>
  <sheetData>
    <row r="1" spans="1:7" x14ac:dyDescent="0.55000000000000004">
      <c r="A1" s="52" t="s">
        <v>214</v>
      </c>
    </row>
    <row r="2" spans="1:7" ht="28" customHeight="1" x14ac:dyDescent="0.55000000000000004">
      <c r="A2" s="54" t="s">
        <v>215</v>
      </c>
      <c r="B2" s="54" t="s">
        <v>216</v>
      </c>
      <c r="C2" s="54" t="s">
        <v>178</v>
      </c>
      <c r="D2" s="54" t="s">
        <v>217</v>
      </c>
      <c r="E2" s="54" t="s">
        <v>218</v>
      </c>
      <c r="F2" s="54" t="s">
        <v>219</v>
      </c>
      <c r="G2" s="54" t="s">
        <v>220</v>
      </c>
    </row>
    <row r="3" spans="1:7" x14ac:dyDescent="0.55000000000000004">
      <c r="A3" s="3" t="s">
        <v>221</v>
      </c>
      <c r="B3" s="3" t="s">
        <v>222</v>
      </c>
      <c r="C3" s="4">
        <v>45931</v>
      </c>
      <c r="D3" s="3" t="s">
        <v>19</v>
      </c>
      <c r="E3" s="3" t="s">
        <v>223</v>
      </c>
      <c r="F3" s="3" t="s">
        <v>224</v>
      </c>
      <c r="G3" s="3" t="s">
        <v>182</v>
      </c>
    </row>
    <row r="4" spans="1:7" x14ac:dyDescent="0.55000000000000004">
      <c r="A4" s="1" t="s">
        <v>225</v>
      </c>
      <c r="B4" s="1" t="s">
        <v>226</v>
      </c>
      <c r="C4" s="2">
        <v>45959</v>
      </c>
      <c r="D4" s="1" t="s">
        <v>19</v>
      </c>
      <c r="E4" s="1" t="s">
        <v>227</v>
      </c>
      <c r="F4" s="1" t="s">
        <v>228</v>
      </c>
      <c r="G4" s="1" t="s">
        <v>194</v>
      </c>
    </row>
    <row r="5" spans="1:7" x14ac:dyDescent="0.55000000000000004">
      <c r="A5" s="1" t="s">
        <v>229</v>
      </c>
      <c r="B5" s="1" t="s">
        <v>230</v>
      </c>
      <c r="C5" s="2">
        <v>45972</v>
      </c>
      <c r="D5" s="1" t="s">
        <v>19</v>
      </c>
      <c r="E5" s="1" t="s">
        <v>231</v>
      </c>
      <c r="F5" s="1" t="s">
        <v>232</v>
      </c>
      <c r="G5" s="1" t="s">
        <v>201</v>
      </c>
    </row>
    <row r="7" spans="1:7" x14ac:dyDescent="0.55000000000000004">
      <c r="A7" s="52" t="s">
        <v>233</v>
      </c>
    </row>
    <row r="8" spans="1:7" ht="28" customHeight="1" x14ac:dyDescent="0.55000000000000004">
      <c r="A8" s="58" t="s">
        <v>234</v>
      </c>
      <c r="B8" s="58" t="s">
        <v>178</v>
      </c>
      <c r="C8" s="58" t="s">
        <v>217</v>
      </c>
      <c r="D8" s="58" t="s">
        <v>235</v>
      </c>
      <c r="E8" s="58" t="s">
        <v>236</v>
      </c>
      <c r="F8" s="58" t="s">
        <v>13</v>
      </c>
    </row>
    <row r="9" spans="1:7" x14ac:dyDescent="0.55000000000000004">
      <c r="A9" s="3" t="s">
        <v>237</v>
      </c>
      <c r="B9" s="4">
        <v>45936</v>
      </c>
      <c r="C9" s="57">
        <v>0.41666666666666669</v>
      </c>
      <c r="D9" s="3" t="s">
        <v>238</v>
      </c>
      <c r="E9" s="3" t="s">
        <v>19</v>
      </c>
      <c r="F9" s="3" t="s">
        <v>239</v>
      </c>
    </row>
    <row r="10" spans="1:7" x14ac:dyDescent="0.55000000000000004">
      <c r="A10" s="1" t="s">
        <v>240</v>
      </c>
      <c r="B10" s="2">
        <v>45943</v>
      </c>
      <c r="C10" s="56">
        <v>0.41666666666666669</v>
      </c>
      <c r="D10" s="1" t="s">
        <v>241</v>
      </c>
      <c r="E10" s="1" t="s">
        <v>19</v>
      </c>
      <c r="F10" s="1" t="s">
        <v>242</v>
      </c>
    </row>
    <row r="11" spans="1:7" x14ac:dyDescent="0.55000000000000004">
      <c r="A11" s="1" t="s">
        <v>243</v>
      </c>
      <c r="B11" s="2">
        <v>45950</v>
      </c>
      <c r="C11" s="56">
        <v>0.41666666666666669</v>
      </c>
      <c r="D11" s="1" t="s">
        <v>244</v>
      </c>
      <c r="E11" s="1" t="s">
        <v>19</v>
      </c>
      <c r="F11" s="1" t="s">
        <v>245</v>
      </c>
    </row>
    <row r="12" spans="1:7" x14ac:dyDescent="0.55000000000000004">
      <c r="A12" s="1" t="s">
        <v>246</v>
      </c>
      <c r="B12" s="2">
        <v>45957</v>
      </c>
      <c r="C12" s="56">
        <v>0.41666666666666669</v>
      </c>
      <c r="D12" s="1" t="s">
        <v>247</v>
      </c>
      <c r="E12" s="1" t="s">
        <v>19</v>
      </c>
      <c r="F12" s="1" t="s">
        <v>248</v>
      </c>
    </row>
    <row r="13" spans="1:7" x14ac:dyDescent="0.55000000000000004">
      <c r="A13" s="1" t="s">
        <v>249</v>
      </c>
      <c r="B13" s="2">
        <v>45964</v>
      </c>
      <c r="C13" s="56">
        <v>0.41666666666666669</v>
      </c>
      <c r="D13" s="1" t="s">
        <v>250</v>
      </c>
      <c r="E13" s="1" t="s">
        <v>19</v>
      </c>
      <c r="F13" s="1" t="s">
        <v>251</v>
      </c>
    </row>
    <row r="14" spans="1:7" x14ac:dyDescent="0.55000000000000004">
      <c r="A14" s="1" t="s">
        <v>252</v>
      </c>
      <c r="B14" s="2">
        <v>45971</v>
      </c>
      <c r="C14" s="56">
        <v>0.41666666666666669</v>
      </c>
      <c r="D14" s="1" t="s">
        <v>253</v>
      </c>
      <c r="E14" s="1" t="s">
        <v>19</v>
      </c>
      <c r="F14" s="1" t="s">
        <v>254</v>
      </c>
    </row>
    <row r="16" spans="1:7" x14ac:dyDescent="0.55000000000000004">
      <c r="A16" s="52" t="s">
        <v>255</v>
      </c>
    </row>
    <row r="17" spans="1:6" ht="28" customHeight="1" x14ac:dyDescent="0.55000000000000004">
      <c r="A17" s="60" t="s">
        <v>256</v>
      </c>
      <c r="B17" s="60" t="s">
        <v>178</v>
      </c>
      <c r="C17" s="60" t="s">
        <v>257</v>
      </c>
      <c r="D17" s="60" t="s">
        <v>258</v>
      </c>
      <c r="E17" s="60" t="s">
        <v>259</v>
      </c>
      <c r="F17" s="60" t="s">
        <v>11</v>
      </c>
    </row>
    <row r="18" spans="1:6" x14ac:dyDescent="0.55000000000000004">
      <c r="A18" s="3" t="s">
        <v>260</v>
      </c>
      <c r="B18" s="4">
        <v>45931</v>
      </c>
      <c r="C18" s="3" t="s">
        <v>261</v>
      </c>
      <c r="D18" s="3" t="s">
        <v>262</v>
      </c>
      <c r="E18" s="3" t="s">
        <v>263</v>
      </c>
      <c r="F18" s="3" t="s">
        <v>353</v>
      </c>
    </row>
    <row r="19" spans="1:6" x14ac:dyDescent="0.55000000000000004">
      <c r="A19" s="1" t="s">
        <v>264</v>
      </c>
      <c r="B19" s="2">
        <v>45944</v>
      </c>
      <c r="C19" s="1" t="s">
        <v>265</v>
      </c>
      <c r="D19" s="1" t="s">
        <v>266</v>
      </c>
      <c r="E19" s="1" t="s">
        <v>267</v>
      </c>
      <c r="F19" s="1" t="s">
        <v>353</v>
      </c>
    </row>
    <row r="20" spans="1:6" x14ac:dyDescent="0.55000000000000004">
      <c r="A20" s="1" t="s">
        <v>268</v>
      </c>
      <c r="B20" s="2">
        <v>45951</v>
      </c>
      <c r="C20" s="1" t="s">
        <v>269</v>
      </c>
      <c r="D20" s="1" t="s">
        <v>270</v>
      </c>
      <c r="E20" s="1" t="s">
        <v>271</v>
      </c>
      <c r="F20" s="1" t="s">
        <v>353</v>
      </c>
    </row>
    <row r="21" spans="1:6" x14ac:dyDescent="0.55000000000000004">
      <c r="A21" s="1" t="s">
        <v>272</v>
      </c>
      <c r="B21" s="2">
        <v>45959</v>
      </c>
      <c r="C21" s="1" t="s">
        <v>273</v>
      </c>
      <c r="D21" s="1" t="s">
        <v>274</v>
      </c>
      <c r="E21" s="1" t="s">
        <v>275</v>
      </c>
      <c r="F21" s="1" t="s">
        <v>353</v>
      </c>
    </row>
    <row r="22" spans="1:6" x14ac:dyDescent="0.55000000000000004">
      <c r="A22" s="1" t="s">
        <v>276</v>
      </c>
      <c r="B22" s="2">
        <v>45960</v>
      </c>
      <c r="C22" s="1" t="s">
        <v>200</v>
      </c>
      <c r="D22" s="1" t="s">
        <v>277</v>
      </c>
      <c r="E22" s="1" t="s">
        <v>278</v>
      </c>
      <c r="F22" s="1" t="s">
        <v>353</v>
      </c>
    </row>
    <row r="23" spans="1:6" x14ac:dyDescent="0.55000000000000004">
      <c r="A23" s="1" t="s">
        <v>279</v>
      </c>
      <c r="B23" s="2">
        <v>45971</v>
      </c>
      <c r="C23" s="1" t="s">
        <v>280</v>
      </c>
      <c r="D23" s="1" t="s">
        <v>281</v>
      </c>
      <c r="E23" s="1" t="s">
        <v>282</v>
      </c>
      <c r="F23" s="1" t="s">
        <v>353</v>
      </c>
    </row>
    <row r="24" spans="1:6" x14ac:dyDescent="0.55000000000000004">
      <c r="A24" s="1" t="s">
        <v>283</v>
      </c>
      <c r="B24" s="2">
        <v>45972</v>
      </c>
      <c r="C24" s="1" t="s">
        <v>284</v>
      </c>
      <c r="D24" s="1" t="s">
        <v>285</v>
      </c>
      <c r="E24" s="1" t="s">
        <v>286</v>
      </c>
      <c r="F24" s="1" t="s">
        <v>353</v>
      </c>
    </row>
    <row r="25" spans="1:6" x14ac:dyDescent="0.55000000000000004">
      <c r="A25" s="1" t="s">
        <v>287</v>
      </c>
      <c r="B25" s="2">
        <v>45973</v>
      </c>
      <c r="C25" s="1" t="s">
        <v>288</v>
      </c>
      <c r="D25" s="1" t="s">
        <v>289</v>
      </c>
      <c r="E25" s="1" t="s">
        <v>290</v>
      </c>
      <c r="F25" s="1" t="s">
        <v>353</v>
      </c>
    </row>
  </sheetData>
  <phoneticPr fontId="1"/>
  <dataValidations count="2">
    <dataValidation type="list" allowBlank="1" showInputMessage="1" showErrorMessage="1" sqref="E9:E14" xr:uid="{E367D71C-A4BD-4C6F-85FC-B5F3450A443F}">
      <formula1>"緑,黄,赤,-"</formula1>
    </dataValidation>
    <dataValidation type="list" allowBlank="1" showInputMessage="1" showErrorMessage="1" sqref="F18:F25" xr:uid="{FBEA9112-6197-4B4A-A074-D489DFD2E0D6}">
      <formula1>"未着手,完了,要対応"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C0B2-495A-477A-AE69-DDB36EF404CF}">
  <sheetPr>
    <tabColor rgb="FFBF8F00"/>
  </sheetPr>
  <dimension ref="A1:D24"/>
  <sheetViews>
    <sheetView topLeftCell="A3" workbookViewId="0">
      <selection activeCell="A17" sqref="A17"/>
    </sheetView>
  </sheetViews>
  <sheetFormatPr defaultRowHeight="18" x14ac:dyDescent="0.55000000000000004"/>
  <cols>
    <col min="1" max="1" width="39.75" bestFit="1" customWidth="1"/>
    <col min="2" max="2" width="31.1640625" customWidth="1"/>
    <col min="3" max="3" width="41.6640625" customWidth="1"/>
    <col min="4" max="4" width="36.6640625" customWidth="1"/>
    <col min="5" max="5" width="8.58203125" bestFit="1" customWidth="1"/>
  </cols>
  <sheetData>
    <row r="1" spans="1:4" x14ac:dyDescent="0.55000000000000004">
      <c r="A1" s="52" t="s">
        <v>291</v>
      </c>
    </row>
    <row r="2" spans="1:4" ht="28" customHeight="1" x14ac:dyDescent="0.55000000000000004">
      <c r="A2" s="53" t="s">
        <v>5</v>
      </c>
      <c r="B2" s="53" t="s">
        <v>292</v>
      </c>
      <c r="C2" s="53" t="s">
        <v>181</v>
      </c>
    </row>
    <row r="3" spans="1:4" ht="27" x14ac:dyDescent="0.55000000000000004">
      <c r="A3" s="11" t="s">
        <v>18</v>
      </c>
      <c r="B3" s="11" t="s">
        <v>293</v>
      </c>
      <c r="C3" s="11" t="s">
        <v>294</v>
      </c>
    </row>
    <row r="4" spans="1:4" ht="27" x14ac:dyDescent="0.55000000000000004">
      <c r="A4" s="11" t="s">
        <v>57</v>
      </c>
      <c r="B4" s="11" t="s">
        <v>295</v>
      </c>
      <c r="C4" s="11" t="s">
        <v>296</v>
      </c>
    </row>
    <row r="5" spans="1:4" ht="27" x14ac:dyDescent="0.55000000000000004">
      <c r="A5" s="11" t="s">
        <v>32</v>
      </c>
      <c r="B5" s="11" t="s">
        <v>297</v>
      </c>
      <c r="C5" s="11" t="s">
        <v>298</v>
      </c>
    </row>
    <row r="6" spans="1:4" ht="27" x14ac:dyDescent="0.55000000000000004">
      <c r="A6" s="11" t="s">
        <v>62</v>
      </c>
      <c r="B6" s="11" t="s">
        <v>299</v>
      </c>
      <c r="C6" s="11" t="s">
        <v>300</v>
      </c>
    </row>
    <row r="7" spans="1:4" ht="27" x14ac:dyDescent="0.55000000000000004">
      <c r="A7" s="11" t="s">
        <v>95</v>
      </c>
      <c r="B7" s="11" t="s">
        <v>301</v>
      </c>
      <c r="C7" s="11" t="s">
        <v>302</v>
      </c>
    </row>
    <row r="8" spans="1:4" ht="27" x14ac:dyDescent="0.55000000000000004">
      <c r="A8" s="11" t="s">
        <v>303</v>
      </c>
      <c r="B8" s="11" t="s">
        <v>304</v>
      </c>
      <c r="C8" s="11" t="s">
        <v>305</v>
      </c>
    </row>
    <row r="10" spans="1:4" x14ac:dyDescent="0.55000000000000004">
      <c r="A10" s="52" t="s">
        <v>306</v>
      </c>
    </row>
    <row r="11" spans="1:4" ht="28" customHeight="1" x14ac:dyDescent="0.55000000000000004">
      <c r="A11" s="55" t="s">
        <v>307</v>
      </c>
      <c r="B11" s="55" t="s">
        <v>308</v>
      </c>
      <c r="C11" s="55" t="s">
        <v>309</v>
      </c>
      <c r="D11" s="55" t="s">
        <v>310</v>
      </c>
    </row>
    <row r="12" spans="1:4" x14ac:dyDescent="0.55000000000000004">
      <c r="A12" s="11" t="s">
        <v>311</v>
      </c>
      <c r="B12" s="11" t="s">
        <v>312</v>
      </c>
      <c r="C12" s="11" t="s">
        <v>313</v>
      </c>
      <c r="D12" s="11" t="s">
        <v>314</v>
      </c>
    </row>
    <row r="13" spans="1:4" x14ac:dyDescent="0.55000000000000004">
      <c r="A13" s="11" t="s">
        <v>315</v>
      </c>
      <c r="B13" s="11" t="s">
        <v>316</v>
      </c>
      <c r="C13" s="11" t="s">
        <v>317</v>
      </c>
      <c r="D13" s="11" t="s">
        <v>318</v>
      </c>
    </row>
    <row r="14" spans="1:4" x14ac:dyDescent="0.55000000000000004">
      <c r="A14" s="11" t="s">
        <v>319</v>
      </c>
      <c r="B14" s="11" t="s">
        <v>320</v>
      </c>
      <c r="C14" s="11" t="s">
        <v>321</v>
      </c>
      <c r="D14" s="11" t="s">
        <v>322</v>
      </c>
    </row>
    <row r="15" spans="1:4" x14ac:dyDescent="0.55000000000000004">
      <c r="A15" s="11" t="s">
        <v>323</v>
      </c>
      <c r="B15" s="11" t="s">
        <v>324</v>
      </c>
      <c r="C15" s="11" t="s">
        <v>325</v>
      </c>
      <c r="D15" s="11" t="s">
        <v>326</v>
      </c>
    </row>
    <row r="16" spans="1:4" x14ac:dyDescent="0.55000000000000004">
      <c r="A16" s="11" t="s">
        <v>327</v>
      </c>
      <c r="B16" s="11" t="s">
        <v>328</v>
      </c>
      <c r="C16" s="11" t="s">
        <v>329</v>
      </c>
      <c r="D16" s="11" t="s">
        <v>330</v>
      </c>
    </row>
    <row r="17" spans="1:4" x14ac:dyDescent="0.55000000000000004">
      <c r="A17" s="11" t="s">
        <v>331</v>
      </c>
      <c r="B17" s="11" t="s">
        <v>332</v>
      </c>
      <c r="C17" s="11" t="s">
        <v>333</v>
      </c>
      <c r="D17" s="11" t="s">
        <v>334</v>
      </c>
    </row>
    <row r="18" spans="1:4" x14ac:dyDescent="0.55000000000000004">
      <c r="A18" s="11" t="s">
        <v>335</v>
      </c>
      <c r="B18" s="11" t="s">
        <v>336</v>
      </c>
      <c r="C18" s="11" t="s">
        <v>337</v>
      </c>
      <c r="D18" s="11" t="s">
        <v>338</v>
      </c>
    </row>
    <row r="20" spans="1:4" x14ac:dyDescent="0.55000000000000004">
      <c r="A20" s="52" t="s">
        <v>339</v>
      </c>
    </row>
    <row r="21" spans="1:4" ht="28" customHeight="1" x14ac:dyDescent="0.55000000000000004">
      <c r="A21" s="59" t="s">
        <v>340</v>
      </c>
      <c r="B21" s="59" t="s">
        <v>341</v>
      </c>
      <c r="C21" s="59" t="s">
        <v>342</v>
      </c>
    </row>
    <row r="22" spans="1:4" ht="27" x14ac:dyDescent="0.55000000000000004">
      <c r="A22" s="61" t="s">
        <v>343</v>
      </c>
      <c r="B22" s="11" t="s">
        <v>344</v>
      </c>
      <c r="C22" s="11" t="s">
        <v>345</v>
      </c>
    </row>
    <row r="23" spans="1:4" ht="27" x14ac:dyDescent="0.55000000000000004">
      <c r="A23" s="62" t="s">
        <v>346</v>
      </c>
      <c r="B23" s="11" t="s">
        <v>347</v>
      </c>
      <c r="C23" s="11" t="s">
        <v>348</v>
      </c>
    </row>
    <row r="24" spans="1:4" ht="27" x14ac:dyDescent="0.55000000000000004">
      <c r="A24" s="63" t="s">
        <v>349</v>
      </c>
      <c r="B24" s="11" t="s">
        <v>350</v>
      </c>
      <c r="C24" s="11" t="s">
        <v>351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WBSタスク一覧</vt:lpstr>
      <vt:lpstr>マイルストーン</vt:lpstr>
      <vt:lpstr>会議体・チェックポイント</vt:lpstr>
      <vt:lpstr>リソース計画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h.ikeshita</dc:creator>
  <cp:lastModifiedBy>h.ikeshita</cp:lastModifiedBy>
  <dcterms:created xsi:type="dcterms:W3CDTF">2015-06-05T18:17:20Z</dcterms:created>
  <dcterms:modified xsi:type="dcterms:W3CDTF">2026-04-08T04:04:59Z</dcterms:modified>
</cp:coreProperties>
</file>