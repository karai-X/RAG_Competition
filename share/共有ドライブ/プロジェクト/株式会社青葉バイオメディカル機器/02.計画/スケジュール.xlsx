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_共有フォルダ\共有ドライブ\プロジェクト\株式会社青葉バイオメディカル機器\02.計画\"/>
    </mc:Choice>
  </mc:AlternateContent>
  <xr:revisionPtr revIDLastSave="0" documentId="13_ncr:1_{0E4A856E-5360-427F-9122-DE1510E5DF8B}" xr6:coauthVersionLast="47" xr6:coauthVersionMax="47" xr10:uidLastSave="{00000000-0000-0000-0000-000000000000}"/>
  <bookViews>
    <workbookView xWindow="-38498" yWindow="-14625" windowWidth="38596" windowHeight="21075" xr2:uid="{00000000-000D-0000-FFFF-FFFF00000000}"/>
  </bookViews>
  <sheets>
    <sheet name="WBS" sheetId="1" r:id="rId1"/>
    <sheet name="マイルストーン・CP" sheetId="2" r:id="rId2"/>
    <sheet name="リソース配分" sheetId="3" r:id="rId3"/>
  </sheets>
  <definedNames>
    <definedName name="_xlnm._FilterDatabase" localSheetId="0" hidden="1">WBS!$A$1:$L$25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<sst xmlns="http://schemas.openxmlformats.org/spreadsheetml/2006/main" count="378" uniqueCount="244">
  <si>
    <t>タスクID</t>
  </si>
  <si>
    <t>フェーズ</t>
  </si>
  <si>
    <t>タスク名</t>
  </si>
  <si>
    <t>詳細・成果物</t>
  </si>
  <si>
    <t>担当者</t>
  </si>
  <si>
    <t>開始日</t>
  </si>
  <si>
    <t>終了日</t>
  </si>
  <si>
    <t>日数</t>
  </si>
  <si>
    <t>依存タスク</t>
  </si>
  <si>
    <t>クリティカルパス</t>
  </si>
  <si>
    <t>ステータス</t>
  </si>
  <si>
    <t>備考</t>
  </si>
  <si>
    <t>T01</t>
  </si>
  <si>
    <t>1. 立上げ・分析設計</t>
  </si>
  <si>
    <t>契約発効・プロジェクト開始確認</t>
  </si>
  <si>
    <t>開始通知、体制確定記録</t>
  </si>
  <si>
    <t>加藤 大輔</t>
  </si>
  <si>
    <t>なし</t>
  </si>
  <si>
    <t>○</t>
  </si>
  <si>
    <t>完了</t>
  </si>
  <si>
    <t>MS1対応</t>
  </si>
  <si>
    <t>T02</t>
  </si>
  <si>
    <t>キックオフ会議実施</t>
  </si>
  <si>
    <t>キックオフ議事録</t>
  </si>
  <si>
    <t>M01キックオフ</t>
  </si>
  <si>
    <t>T03</t>
  </si>
  <si>
    <t>データ受領・アクセス確認</t>
  </si>
  <si>
    <t>データ受領確認メモ</t>
  </si>
  <si>
    <t>斉藤 悠斗</t>
  </si>
  <si>
    <t>T04</t>
  </si>
  <si>
    <t>定義差分整理・分析前提確定</t>
  </si>
  <si>
    <t>分析用データ理解メモ 初版</t>
  </si>
  <si>
    <t>渡辺 遥</t>
  </si>
  <si>
    <t>CP2対応</t>
  </si>
  <si>
    <t>T05</t>
  </si>
  <si>
    <t>プロジェクト計画・進行ルール確定</t>
  </si>
  <si>
    <t>プロジェクトスケジュール、進行ルール</t>
  </si>
  <si>
    <t>T06</t>
  </si>
  <si>
    <t>初期品質確認・再現環境整備</t>
  </si>
  <si>
    <t>品質確認メモ、分析環境設定記録</t>
  </si>
  <si>
    <t>T07</t>
  </si>
  <si>
    <t>2. データ理解・EDA</t>
  </si>
  <si>
    <t>探索的データ分析（分布・クロス集計）</t>
  </si>
  <si>
    <t>EDA結果資料 草案</t>
  </si>
  <si>
    <t>T04, T06</t>
  </si>
  <si>
    <t>T08</t>
  </si>
  <si>
    <t>業務観点での論点整理</t>
  </si>
  <si>
    <t>論点一覧、施策観点整理メモ</t>
  </si>
  <si>
    <t>井上 里奈</t>
  </si>
  <si>
    <t>T09</t>
  </si>
  <si>
    <t>EDA速報・社内レビュー</t>
  </si>
  <si>
    <t>EDA速報レビュー記録</t>
  </si>
  <si>
    <t>清水 麻衣</t>
  </si>
  <si>
    <t>T07, T08</t>
  </si>
  <si>
    <t>MS2対応</t>
  </si>
  <si>
    <t>T10</t>
  </si>
  <si>
    <t>初期モデル作成・評価</t>
  </si>
  <si>
    <t>初期予測モデル評価資料 草案</t>
  </si>
  <si>
    <t>T11</t>
  </si>
  <si>
    <t>中間報告資料統合</t>
  </si>
  <si>
    <t>中間報告書</t>
  </si>
  <si>
    <t>T09, T10</t>
  </si>
  <si>
    <t>T12</t>
  </si>
  <si>
    <t>EDAレビュー・中間報告会実施</t>
  </si>
  <si>
    <t>中間報告会議事録、承認事項記録</t>
  </si>
  <si>
    <t>MS3対応、M02中間報告</t>
  </si>
  <si>
    <t>T13</t>
  </si>
  <si>
    <t>3. モデル評価・示唇整理</t>
  </si>
  <si>
    <t>変更要求整理・影響評価</t>
  </si>
  <si>
    <t>変更管理記録</t>
  </si>
  <si>
    <t>MS4対応</t>
  </si>
  <si>
    <t>T14</t>
  </si>
  <si>
    <t>変更管理チェックポイント</t>
  </si>
  <si>
    <t>変更可否判定結果</t>
  </si>
  <si>
    <t>CP5対応</t>
  </si>
  <si>
    <t>T15</t>
  </si>
  <si>
    <t>セグメント別要因分析・施策示唇整理</t>
  </si>
  <si>
    <t>離職要因分析資料 草案</t>
  </si>
  <si>
    <t>T16</t>
  </si>
  <si>
    <t>公平性・利用制約レビュー</t>
  </si>
  <si>
    <t>公平性・運用注意点レビュー記録</t>
  </si>
  <si>
    <t>T12, T15</t>
  </si>
  <si>
    <t>CP6対応</t>
  </si>
  <si>
    <t>T17</t>
  </si>
  <si>
    <t>最終報告書ドラフト作成</t>
  </si>
  <si>
    <t>最終報告書 ドラフト</t>
  </si>
  <si>
    <t>T15, T16, T10</t>
  </si>
  <si>
    <t>MS5対応</t>
  </si>
  <si>
    <t>T18</t>
  </si>
  <si>
    <t>4. 最終化・検収対応</t>
  </si>
  <si>
    <t>社内品質保証レビュー</t>
  </si>
  <si>
    <t>QAレビュー記録、修正指示一覧</t>
  </si>
  <si>
    <t>CP7対応</t>
  </si>
  <si>
    <t>T19</t>
  </si>
  <si>
    <t>最終成果物修正・確定</t>
  </si>
  <si>
    <t>最終報告書、EDA結果資料、離職要因分析資料、モデル評価資料</t>
  </si>
  <si>
    <t>渡辺 遥 / 井上 里奈</t>
  </si>
  <si>
    <t>T20</t>
  </si>
  <si>
    <t>最終報告・検収会実施</t>
  </si>
  <si>
    <t>最終報告会議事録、検収方針確認記録</t>
  </si>
  <si>
    <t>MS6対応、M03検収会、CP8対応</t>
  </si>
  <si>
    <t>T21</t>
  </si>
  <si>
    <t>リスクバッファ対応期間</t>
  </si>
  <si>
    <t>修正反映履歴、追加説明記録</t>
  </si>
  <si>
    <t>RB2バッファ期間</t>
  </si>
  <si>
    <t>T22</t>
  </si>
  <si>
    <t>最終成果物提出</t>
  </si>
  <si>
    <t>納品一式、納品一覧</t>
  </si>
  <si>
    <t>T20, T21</t>
  </si>
  <si>
    <t>MS7対応、CP9対応</t>
  </si>
  <si>
    <t>T23</t>
  </si>
  <si>
    <t>請求準備・工数確定</t>
  </si>
  <si>
    <t>工数明細、請求準備記録</t>
  </si>
  <si>
    <t>T24</t>
  </si>
  <si>
    <t>最終一括精算対応</t>
  </si>
  <si>
    <t>請求・支払処理完了記録</t>
  </si>
  <si>
    <t>加藤 大輔 / 山田 太一</t>
  </si>
  <si>
    <t>【マイルストーン一覧】</t>
  </si>
  <si>
    <t>ID</t>
  </si>
  <si>
    <t>マイルストーン名</t>
  </si>
  <si>
    <t>日付</t>
  </si>
  <si>
    <t>関連会議</t>
  </si>
  <si>
    <t>完了条件</t>
  </si>
  <si>
    <t>オーナー</t>
  </si>
  <si>
    <t>MS1</t>
  </si>
  <si>
    <t>契約開始・キックオフ完了</t>
  </si>
  <si>
    <t>M01 キックオフ</t>
  </si>
  <si>
    <t>目的、スコープ、実データ準拠方針、レビュー日程、連絡体制の合意</t>
  </si>
  <si>
    <t>MS2</t>
  </si>
  <si>
    <t>データ理解・EDA速報確定</t>
  </si>
  <si>
    <t>事前社内レビュー</t>
  </si>
  <si>
    <t>全33列の定義・役割・利用可否整理、EDA速報版完成</t>
  </si>
  <si>
    <t>MS3</t>
  </si>
  <si>
    <t>EDAレビュー・中間報告完了</t>
  </si>
  <si>
    <t>M02 EDAレビュー・中間報告</t>
  </si>
  <si>
    <t>主要因子候補、初期モデル評価、最終報告に向けた論点合意</t>
  </si>
  <si>
    <t>MS4</t>
  </si>
  <si>
    <t>変更管理チェックポイント完了</t>
  </si>
  <si>
    <t>変更管理判定会</t>
  </si>
  <si>
    <t>追加分析・追加資料・会議増加要否の影響判定と記録完了</t>
  </si>
  <si>
    <t>MS5</t>
  </si>
  <si>
    <t>最終報告ドラフト確定</t>
  </si>
  <si>
    <t>社内品質レビュー</t>
  </si>
  <si>
    <t>最終報告書、離職要因分析資料、モデル評価資料のドラフト確定</t>
  </si>
  <si>
    <t>MS6</t>
  </si>
  <si>
    <t>最終報告・検収会完了</t>
  </si>
  <si>
    <t>M03 最終報告・検収会</t>
  </si>
  <si>
    <t>最終成果物説明、施策仮説確認、検収方針確認</t>
  </si>
  <si>
    <t>MS7</t>
  </si>
  <si>
    <t>成果物最終提出完了</t>
  </si>
  <si>
    <t>納品連絡</t>
  </si>
  <si>
    <t>最終成果物一式提出、議事録・納品一覧送付</t>
  </si>
  <si>
    <t>MS8</t>
  </si>
  <si>
    <t>最終一括精算支払期日</t>
  </si>
  <si>
    <t>支払処理</t>
  </si>
  <si>
    <t>山田 太一 / 加藤 大輔</t>
  </si>
  <si>
    <t>【チェックポイント一覧】</t>
  </si>
  <si>
    <t>内容</t>
  </si>
  <si>
    <t>判定者</t>
  </si>
  <si>
    <t>CP1</t>
  </si>
  <si>
    <t>キックオフ合意確認</t>
  </si>
  <si>
    <t>CP2</t>
  </si>
  <si>
    <t>定義差分・分析前提の確定確認</t>
  </si>
  <si>
    <t>渡辺 遥 / 山田 太一</t>
  </si>
  <si>
    <t>CP3</t>
  </si>
  <si>
    <t>EDA速報版の社内品質確認</t>
  </si>
  <si>
    <t>CP4</t>
  </si>
  <si>
    <t>中間報告内容のクライアント確認</t>
  </si>
  <si>
    <t>山田 太一</t>
  </si>
  <si>
    <t>CP5</t>
  </si>
  <si>
    <t>変更管理判定</t>
  </si>
  <si>
    <t>CP6</t>
  </si>
  <si>
    <t>公平性・利用制約レビュー完了確認</t>
  </si>
  <si>
    <t>清水 麻衣 / 井上 里奈</t>
  </si>
  <si>
    <t>CP7</t>
  </si>
  <si>
    <t>最終ドラフトQA完了確認</t>
  </si>
  <si>
    <t>CP8</t>
  </si>
  <si>
    <t>最終報告・検収会での確認</t>
  </si>
  <si>
    <t>山田 太一 / 中村 誠</t>
  </si>
  <si>
    <t>CP9</t>
  </si>
  <si>
    <t>最終提出完了確認</t>
  </si>
  <si>
    <t>CP10</t>
  </si>
  <si>
    <t>最終一括精算処理確認</t>
  </si>
  <si>
    <t>【役割別工数配分】</t>
  </si>
  <si>
    <t>役割</t>
  </si>
  <si>
    <t>氏名</t>
  </si>
  <si>
    <t>想定工数</t>
  </si>
  <si>
    <t>主担当工程</t>
  </si>
  <si>
    <t>プロジェクトマネージャー</t>
  </si>
  <si>
    <t>34時間</t>
  </si>
  <si>
    <t>進行管理、会議運営、変更管理、納品、請求準備</t>
  </si>
  <si>
    <t>リードデータサイエンティスト</t>
  </si>
  <si>
    <t>52時間</t>
  </si>
  <si>
    <t>分析設計、EDA、初期モデル構築、最終分析確定</t>
  </si>
  <si>
    <t>データエンジニア</t>
  </si>
  <si>
    <t>24時間</t>
  </si>
  <si>
    <t>データ受領確認、品質確認、前処理、再現環境整備</t>
  </si>
  <si>
    <t>ビジネスアナリスト</t>
  </si>
  <si>
    <t>論点整理、示唇整理、中間報告、最終報告書作成</t>
  </si>
  <si>
    <t>QAレビューア</t>
  </si>
  <si>
    <t>18時間</t>
  </si>
  <si>
    <t>EDAレビュー、品質保証、公平性レビュー、最終レビュー</t>
  </si>
  <si>
    <t>エグゼクティブスポンサー</t>
  </si>
  <si>
    <t>中村 誠</t>
  </si>
  <si>
    <t>8時間</t>
  </si>
  <si>
    <t>重要論点判断、最終報告同席、エスカレーション対応</t>
  </si>
  <si>
    <t>【週別リソース配分】</t>
  </si>
  <si>
    <t>週</t>
  </si>
  <si>
    <t>期間</t>
  </si>
  <si>
    <t>主な投入者</t>
  </si>
  <si>
    <t>配分方針</t>
  </si>
  <si>
    <t>第1週</t>
  </si>
  <si>
    <t>2025-06-23～2025-06-27</t>
  </si>
  <si>
    <t>加藤 大輔、斉藤 悠斗、渡辺 遥</t>
  </si>
  <si>
    <t>立上げ、前提整理、データ確認に重点配分</t>
  </si>
  <si>
    <t>第2週</t>
  </si>
  <si>
    <t>2025-06-30～2025-07-04</t>
  </si>
  <si>
    <t>渡辺 遥、井上 里奈、斉藤 悠斗</t>
  </si>
  <si>
    <t>EDAと業務論点整理に集中</t>
  </si>
  <si>
    <t>第3週</t>
  </si>
  <si>
    <t>2025-07-07～2025-07-11</t>
  </si>
  <si>
    <t>渡辺 遥、井上 里奈、清水 麻衣</t>
  </si>
  <si>
    <t>初期モデル評価と中間報告の完成に重点</t>
  </si>
  <si>
    <t>第4週</t>
  </si>
  <si>
    <t>2025-07-14～2025-07-18</t>
  </si>
  <si>
    <t>井上 里奈、渡辺 遥、清水 麻衣</t>
  </si>
  <si>
    <t>施策示唇、公平性レビュー、変更管理を実施</t>
  </si>
  <si>
    <t>第5週</t>
  </si>
  <si>
    <t>2025-07-22～2025-07-28</t>
  </si>
  <si>
    <t>加藤 大輔、井上 里奈、渡辺 遥、清水 麻衣</t>
  </si>
  <si>
    <t>最終化、検収会、納品、バッファ吸収に重点</t>
  </si>
  <si>
    <t>【支払情報】</t>
  </si>
  <si>
    <t>支払回</t>
  </si>
  <si>
    <t>マイルストーン</t>
  </si>
  <si>
    <t>比率</t>
  </si>
  <si>
    <t>金額（税込）</t>
  </si>
  <si>
    <t>支払条件</t>
  </si>
  <si>
    <t>基準日</t>
  </si>
  <si>
    <t>支払期日</t>
  </si>
  <si>
    <t>最終一括精算</t>
  </si>
  <si>
    <t>最終成果物の検収完了後5営業日以内</t>
  </si>
  <si>
    <t>最終一括精算、税込3,443,000円、検収完了後5営業日以内</t>
    <phoneticPr fontId="4"/>
  </si>
  <si>
    <t>3,443,000円</t>
    <phoneticPr fontId="4"/>
  </si>
  <si>
    <t>MS8対応、税込3,443,000円、CP10対応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</si>
</sst>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&quot;日&quot;"/>
  </numFmts>
  <fonts count="5" x14ac:knownFonts="1">
    <font>
      <sz val="11"/>
      <color theme="1"/>
      <name val="游ゴシック"/>
      <family val="2"/>
      <scheme val="minor"/>
    </font>
    <font>
      <sz val="10"/>
      <color theme="1"/>
      <name val="BIZ UDPゴシック"/>
      <family val="3"/>
      <charset val="128"/>
    </font>
    <font>
      <b/>
      <sz val="10"/>
      <color rgb="FFFFFFFF"/>
      <name val="BIZ UDPゴシック"/>
      <family val="3"/>
      <charset val="128"/>
    </font>
    <font>
      <b/>
      <sz val="11"/>
      <color rgb="FFFFFFFF"/>
      <name val="BIZ UDPゴシック"/>
      <family val="3"/>
      <charset val="128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8B3A3A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rgb="FF333333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333333"/>
      </bottom>
      <diagonal/>
    </border>
    <border>
      <left style="medium">
        <color rgb="FF333333"/>
      </left>
      <right style="thin">
        <color rgb="FF999999"/>
      </right>
      <top style="medium">
        <color rgb="FF333333"/>
      </top>
      <bottom style="thin">
        <color rgb="FF999999"/>
      </bottom>
      <diagonal/>
    </border>
    <border>
      <left style="medium">
        <color rgb="FF333333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333333"/>
      </left>
      <right style="thin">
        <color rgb="FF999999"/>
      </right>
      <top style="thin">
        <color rgb="FF999999"/>
      </top>
      <bottom style="medium">
        <color rgb="FF333333"/>
      </bottom>
      <diagonal/>
    </border>
    <border>
      <left style="thin">
        <color rgb="FF999999"/>
      </left>
      <right style="medium">
        <color rgb="FF333333"/>
      </right>
      <top style="medium">
        <color rgb="FF333333"/>
      </top>
      <bottom style="thin">
        <color rgb="FF999999"/>
      </bottom>
      <diagonal/>
    </border>
    <border>
      <left style="thin">
        <color rgb="FF999999"/>
      </left>
      <right style="medium">
        <color rgb="FF333333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333333"/>
      </right>
      <top style="thin">
        <color rgb="FF999999"/>
      </top>
      <bottom style="medium">
        <color rgb="FF33333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176" fontId="1" fillId="0" borderId="1" xfId="0" applyNumberFormat="1" applyFont="1" applyBorder="1"/>
    <xf numFmtId="177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/>
    <xf numFmtId="176" fontId="1" fillId="0" borderId="3" xfId="0" applyNumberFormat="1" applyFont="1" applyBorder="1"/>
    <xf numFmtId="177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/>
    <xf numFmtId="176" fontId="1" fillId="3" borderId="1" xfId="0" applyNumberFormat="1" applyFont="1" applyFill="1" applyBorder="1"/>
    <xf numFmtId="177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8" xfId="0" applyFont="1" applyFill="1" applyBorder="1"/>
    <xf numFmtId="0" fontId="3" fillId="4" borderId="0" xfId="0" applyFont="1" applyFill="1"/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9" fontId="1" fillId="0" borderId="3" xfId="0" applyNumberFormat="1" applyFont="1" applyBorder="1"/>
    <xf numFmtId="14" fontId="1" fillId="0" borderId="3" xfId="0" applyNumberFormat="1" applyFont="1" applyBorder="1"/>
    <xf numFmtId="14" fontId="1" fillId="0" borderId="9" xfId="0" applyNumberFormat="1" applyFont="1" applyBorder="1"/>
  </cellXfs>
  <cellStyles count="1">
    <cellStyle name="標準" xfId="0" builtinId="0"/>
  </cellStyles>
  <dxfs count="10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3366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3366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3366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BC1C72-558B-4053-BB3D-BE8AB801E2A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bfcb255-74ae-4a23-a4d4-1bb8e256eac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8" x14ac:dyDescent="0.55000000000000004"/>
  <cols>
    <col min="1" max="1" width="9.1640625" customWidth="1"/>
    <col min="2" max="2" width="29.1640625" customWidth="1"/>
    <col min="3" max="3" width="37.5" customWidth="1"/>
    <col min="4" max="4" width="46.6640625" customWidth="1"/>
    <col min="5" max="5" width="22.5" customWidth="1"/>
    <col min="6" max="7" width="15" customWidth="1"/>
    <col min="8" max="8" width="9.1640625" customWidth="1"/>
    <col min="9" max="9" width="15" customWidth="1"/>
    <col min="10" max="10" width="9.1640625" customWidth="1"/>
    <col min="11" max="11" width="11.6640625" customWidth="1"/>
    <col min="12" max="12" width="35" customWidth="1"/>
  </cols>
  <sheetData>
    <row r="1" spans="1:12" ht="28" customHeight="1" x14ac:dyDescent="0.55000000000000004">
      <c r="A1" s="1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4" t="s">
        <v>11</v>
      </c>
    </row>
    <row r="2" spans="1:12" x14ac:dyDescent="0.55000000000000004">
      <c r="A2" s="17" t="s">
        <v>12</v>
      </c>
      <c r="B2" s="18" t="s">
        <v>13</v>
      </c>
      <c r="C2" s="18" t="s">
        <v>14</v>
      </c>
      <c r="D2" s="18" t="s">
        <v>15</v>
      </c>
      <c r="E2" s="18" t="s">
        <v>16</v>
      </c>
      <c r="F2" s="19">
        <v>45831</v>
      </c>
      <c r="G2" s="19">
        <v>45831</v>
      </c>
      <c r="H2" s="20">
        <f>G2-F2+1</f>
        <v>1</v>
      </c>
      <c r="I2" s="18" t="s">
        <v>17</v>
      </c>
      <c r="J2" s="21" t="s">
        <v>18</v>
      </c>
      <c r="K2" s="21" t="s">
        <v>19</v>
      </c>
      <c r="L2" s="22" t="s">
        <v>20</v>
      </c>
    </row>
    <row r="3" spans="1:12" x14ac:dyDescent="0.55000000000000004">
      <c r="A3" s="17" t="s">
        <v>21</v>
      </c>
      <c r="B3" s="18" t="s">
        <v>13</v>
      </c>
      <c r="C3" s="18" t="s">
        <v>22</v>
      </c>
      <c r="D3" s="18" t="s">
        <v>23</v>
      </c>
      <c r="E3" s="18" t="s">
        <v>16</v>
      </c>
      <c r="F3" s="19">
        <v>45831</v>
      </c>
      <c r="G3" s="19">
        <v>45831</v>
      </c>
      <c r="H3" s="20">
        <f t="shared" ref="H3:H25" si="0">G3-F3+1</f>
        <v>1</v>
      </c>
      <c r="I3" s="18" t="s">
        <v>12</v>
      </c>
      <c r="J3" s="21" t="s">
        <v>18</v>
      </c>
      <c r="K3" s="21" t="s">
        <v>19</v>
      </c>
      <c r="L3" s="22" t="s">
        <v>24</v>
      </c>
    </row>
    <row r="4" spans="1:12" x14ac:dyDescent="0.55000000000000004">
      <c r="A4" s="17" t="s">
        <v>25</v>
      </c>
      <c r="B4" s="18" t="s">
        <v>13</v>
      </c>
      <c r="C4" s="18" t="s">
        <v>26</v>
      </c>
      <c r="D4" s="18" t="s">
        <v>27</v>
      </c>
      <c r="E4" s="18" t="s">
        <v>28</v>
      </c>
      <c r="F4" s="19">
        <v>45831</v>
      </c>
      <c r="G4" s="19">
        <v>45832</v>
      </c>
      <c r="H4" s="20">
        <f t="shared" si="0"/>
        <v>2</v>
      </c>
      <c r="I4" s="18" t="s">
        <v>21</v>
      </c>
      <c r="J4" s="21" t="s">
        <v>18</v>
      </c>
      <c r="K4" s="21" t="s">
        <v>19</v>
      </c>
      <c r="L4" s="22"/>
    </row>
    <row r="5" spans="1:12" x14ac:dyDescent="0.55000000000000004">
      <c r="A5" s="17" t="s">
        <v>29</v>
      </c>
      <c r="B5" s="18" t="s">
        <v>13</v>
      </c>
      <c r="C5" s="18" t="s">
        <v>30</v>
      </c>
      <c r="D5" s="18" t="s">
        <v>31</v>
      </c>
      <c r="E5" s="18" t="s">
        <v>32</v>
      </c>
      <c r="F5" s="19">
        <v>45832</v>
      </c>
      <c r="G5" s="19">
        <v>45834</v>
      </c>
      <c r="H5" s="20">
        <f t="shared" si="0"/>
        <v>3</v>
      </c>
      <c r="I5" s="18" t="s">
        <v>25</v>
      </c>
      <c r="J5" s="21" t="s">
        <v>18</v>
      </c>
      <c r="K5" s="21" t="s">
        <v>19</v>
      </c>
      <c r="L5" s="22" t="s">
        <v>33</v>
      </c>
    </row>
    <row r="6" spans="1:12" x14ac:dyDescent="0.55000000000000004">
      <c r="A6" s="17" t="s">
        <v>34</v>
      </c>
      <c r="B6" s="18" t="s">
        <v>13</v>
      </c>
      <c r="C6" s="18" t="s">
        <v>35</v>
      </c>
      <c r="D6" s="18" t="s">
        <v>36</v>
      </c>
      <c r="E6" s="18" t="s">
        <v>16</v>
      </c>
      <c r="F6" s="19">
        <v>45832</v>
      </c>
      <c r="G6" s="19">
        <v>45834</v>
      </c>
      <c r="H6" s="20">
        <f t="shared" si="0"/>
        <v>3</v>
      </c>
      <c r="I6" s="18" t="s">
        <v>21</v>
      </c>
      <c r="J6" s="21"/>
      <c r="K6" s="21" t="s">
        <v>19</v>
      </c>
      <c r="L6" s="22"/>
    </row>
    <row r="7" spans="1:12" x14ac:dyDescent="0.55000000000000004">
      <c r="A7" s="17" t="s">
        <v>37</v>
      </c>
      <c r="B7" s="18" t="s">
        <v>13</v>
      </c>
      <c r="C7" s="18" t="s">
        <v>38</v>
      </c>
      <c r="D7" s="18" t="s">
        <v>39</v>
      </c>
      <c r="E7" s="18" t="s">
        <v>28</v>
      </c>
      <c r="F7" s="19">
        <v>45833</v>
      </c>
      <c r="G7" s="19">
        <v>45838</v>
      </c>
      <c r="H7" s="20">
        <f t="shared" si="0"/>
        <v>6</v>
      </c>
      <c r="I7" s="18" t="s">
        <v>25</v>
      </c>
      <c r="J7" s="21" t="s">
        <v>18</v>
      </c>
      <c r="K7" s="21" t="s">
        <v>19</v>
      </c>
      <c r="L7" s="22"/>
    </row>
    <row r="8" spans="1:12" x14ac:dyDescent="0.55000000000000004">
      <c r="A8" s="12" t="s">
        <v>40</v>
      </c>
      <c r="B8" s="2" t="s">
        <v>41</v>
      </c>
      <c r="C8" s="2" t="s">
        <v>42</v>
      </c>
      <c r="D8" s="2" t="s">
        <v>43</v>
      </c>
      <c r="E8" s="2" t="s">
        <v>32</v>
      </c>
      <c r="F8" s="3">
        <v>45838</v>
      </c>
      <c r="G8" s="3">
        <v>45845</v>
      </c>
      <c r="H8" s="4">
        <f t="shared" si="0"/>
        <v>8</v>
      </c>
      <c r="I8" s="2" t="s">
        <v>44</v>
      </c>
      <c r="J8" s="5" t="s">
        <v>18</v>
      </c>
      <c r="K8" s="5" t="s">
        <v>19</v>
      </c>
      <c r="L8" s="15"/>
    </row>
    <row r="9" spans="1:12" x14ac:dyDescent="0.55000000000000004">
      <c r="A9" s="12" t="s">
        <v>45</v>
      </c>
      <c r="B9" s="2" t="s">
        <v>41</v>
      </c>
      <c r="C9" s="2" t="s">
        <v>46</v>
      </c>
      <c r="D9" s="2" t="s">
        <v>47</v>
      </c>
      <c r="E9" s="2" t="s">
        <v>48</v>
      </c>
      <c r="F9" s="3">
        <v>45841</v>
      </c>
      <c r="G9" s="3">
        <v>45846</v>
      </c>
      <c r="H9" s="4">
        <f t="shared" si="0"/>
        <v>6</v>
      </c>
      <c r="I9" s="2" t="s">
        <v>40</v>
      </c>
      <c r="J9" s="5"/>
      <c r="K9" s="5" t="s">
        <v>19</v>
      </c>
      <c r="L9" s="15"/>
    </row>
    <row r="10" spans="1:12" x14ac:dyDescent="0.55000000000000004">
      <c r="A10" s="12" t="s">
        <v>49</v>
      </c>
      <c r="B10" s="2" t="s">
        <v>41</v>
      </c>
      <c r="C10" s="2" t="s">
        <v>50</v>
      </c>
      <c r="D10" s="2" t="s">
        <v>51</v>
      </c>
      <c r="E10" s="2" t="s">
        <v>52</v>
      </c>
      <c r="F10" s="3">
        <v>45846</v>
      </c>
      <c r="G10" s="3">
        <v>45847</v>
      </c>
      <c r="H10" s="4">
        <f t="shared" si="0"/>
        <v>2</v>
      </c>
      <c r="I10" s="2" t="s">
        <v>53</v>
      </c>
      <c r="J10" s="5"/>
      <c r="K10" s="5" t="s">
        <v>19</v>
      </c>
      <c r="L10" s="15" t="s">
        <v>54</v>
      </c>
    </row>
    <row r="11" spans="1:12" x14ac:dyDescent="0.55000000000000004">
      <c r="A11" s="12" t="s">
        <v>55</v>
      </c>
      <c r="B11" s="2" t="s">
        <v>41</v>
      </c>
      <c r="C11" s="2" t="s">
        <v>56</v>
      </c>
      <c r="D11" s="2" t="s">
        <v>57</v>
      </c>
      <c r="E11" s="2" t="s">
        <v>32</v>
      </c>
      <c r="F11" s="3">
        <v>45845</v>
      </c>
      <c r="G11" s="3">
        <v>45848</v>
      </c>
      <c r="H11" s="4">
        <f t="shared" si="0"/>
        <v>4</v>
      </c>
      <c r="I11" s="2" t="s">
        <v>40</v>
      </c>
      <c r="J11" s="5" t="s">
        <v>18</v>
      </c>
      <c r="K11" s="5" t="s">
        <v>19</v>
      </c>
      <c r="L11" s="15"/>
    </row>
    <row r="12" spans="1:12" x14ac:dyDescent="0.55000000000000004">
      <c r="A12" s="12" t="s">
        <v>58</v>
      </c>
      <c r="B12" s="2" t="s">
        <v>41</v>
      </c>
      <c r="C12" s="2" t="s">
        <v>59</v>
      </c>
      <c r="D12" s="2" t="s">
        <v>60</v>
      </c>
      <c r="E12" s="2" t="s">
        <v>48</v>
      </c>
      <c r="F12" s="3">
        <v>45847</v>
      </c>
      <c r="G12" s="3">
        <v>45848</v>
      </c>
      <c r="H12" s="4">
        <f t="shared" si="0"/>
        <v>2</v>
      </c>
      <c r="I12" s="2" t="s">
        <v>61</v>
      </c>
      <c r="J12" s="5" t="s">
        <v>18</v>
      </c>
      <c r="K12" s="5" t="s">
        <v>19</v>
      </c>
      <c r="L12" s="15"/>
    </row>
    <row r="13" spans="1:12" x14ac:dyDescent="0.55000000000000004">
      <c r="A13" s="12" t="s">
        <v>62</v>
      </c>
      <c r="B13" s="2" t="s">
        <v>41</v>
      </c>
      <c r="C13" s="2" t="s">
        <v>63</v>
      </c>
      <c r="D13" s="2" t="s">
        <v>64</v>
      </c>
      <c r="E13" s="2" t="s">
        <v>16</v>
      </c>
      <c r="F13" s="3">
        <v>45849</v>
      </c>
      <c r="G13" s="3">
        <v>45849</v>
      </c>
      <c r="H13" s="4">
        <f t="shared" si="0"/>
        <v>1</v>
      </c>
      <c r="I13" s="2" t="s">
        <v>58</v>
      </c>
      <c r="J13" s="5" t="s">
        <v>18</v>
      </c>
      <c r="K13" s="5" t="s">
        <v>19</v>
      </c>
      <c r="L13" s="15" t="s">
        <v>65</v>
      </c>
    </row>
    <row r="14" spans="1:12" x14ac:dyDescent="0.55000000000000004">
      <c r="A14" s="17" t="s">
        <v>66</v>
      </c>
      <c r="B14" s="18" t="s">
        <v>67</v>
      </c>
      <c r="C14" s="18" t="s">
        <v>68</v>
      </c>
      <c r="D14" s="18" t="s">
        <v>69</v>
      </c>
      <c r="E14" s="18" t="s">
        <v>16</v>
      </c>
      <c r="F14" s="19">
        <v>45852</v>
      </c>
      <c r="G14" s="19">
        <v>45852</v>
      </c>
      <c r="H14" s="20">
        <f t="shared" si="0"/>
        <v>1</v>
      </c>
      <c r="I14" s="18" t="s">
        <v>62</v>
      </c>
      <c r="J14" s="21"/>
      <c r="K14" s="21" t="s">
        <v>19</v>
      </c>
      <c r="L14" s="22" t="s">
        <v>70</v>
      </c>
    </row>
    <row r="15" spans="1:12" x14ac:dyDescent="0.55000000000000004">
      <c r="A15" s="17" t="s">
        <v>71</v>
      </c>
      <c r="B15" s="18" t="s">
        <v>67</v>
      </c>
      <c r="C15" s="18" t="s">
        <v>72</v>
      </c>
      <c r="D15" s="18" t="s">
        <v>73</v>
      </c>
      <c r="E15" s="18" t="s">
        <v>16</v>
      </c>
      <c r="F15" s="19">
        <v>45852</v>
      </c>
      <c r="G15" s="19">
        <v>45852</v>
      </c>
      <c r="H15" s="20">
        <f t="shared" si="0"/>
        <v>1</v>
      </c>
      <c r="I15" s="18" t="s">
        <v>66</v>
      </c>
      <c r="J15" s="21"/>
      <c r="K15" s="21" t="s">
        <v>19</v>
      </c>
      <c r="L15" s="22" t="s">
        <v>74</v>
      </c>
    </row>
    <row r="16" spans="1:12" x14ac:dyDescent="0.55000000000000004">
      <c r="A16" s="17" t="s">
        <v>75</v>
      </c>
      <c r="B16" s="18" t="s">
        <v>67</v>
      </c>
      <c r="C16" s="18" t="s">
        <v>76</v>
      </c>
      <c r="D16" s="18" t="s">
        <v>77</v>
      </c>
      <c r="E16" s="18" t="s">
        <v>48</v>
      </c>
      <c r="F16" s="19">
        <v>45852</v>
      </c>
      <c r="G16" s="19">
        <v>45856</v>
      </c>
      <c r="H16" s="20">
        <f t="shared" si="0"/>
        <v>5</v>
      </c>
      <c r="I16" s="18" t="s">
        <v>62</v>
      </c>
      <c r="J16" s="21" t="s">
        <v>18</v>
      </c>
      <c r="K16" s="21" t="s">
        <v>19</v>
      </c>
      <c r="L16" s="22"/>
    </row>
    <row r="17" spans="1:12" x14ac:dyDescent="0.55000000000000004">
      <c r="A17" s="17" t="s">
        <v>78</v>
      </c>
      <c r="B17" s="18" t="s">
        <v>67</v>
      </c>
      <c r="C17" s="18" t="s">
        <v>79</v>
      </c>
      <c r="D17" s="18" t="s">
        <v>80</v>
      </c>
      <c r="E17" s="18" t="s">
        <v>52</v>
      </c>
      <c r="F17" s="19">
        <v>45853</v>
      </c>
      <c r="G17" s="19">
        <v>45856</v>
      </c>
      <c r="H17" s="20">
        <f t="shared" si="0"/>
        <v>4</v>
      </c>
      <c r="I17" s="18" t="s">
        <v>81</v>
      </c>
      <c r="J17" s="21" t="s">
        <v>18</v>
      </c>
      <c r="K17" s="21" t="s">
        <v>19</v>
      </c>
      <c r="L17" s="22" t="s">
        <v>82</v>
      </c>
    </row>
    <row r="18" spans="1:12" x14ac:dyDescent="0.55000000000000004">
      <c r="A18" s="17" t="s">
        <v>83</v>
      </c>
      <c r="B18" s="18" t="s">
        <v>67</v>
      </c>
      <c r="C18" s="18" t="s">
        <v>84</v>
      </c>
      <c r="D18" s="18" t="s">
        <v>85</v>
      </c>
      <c r="E18" s="18" t="s">
        <v>48</v>
      </c>
      <c r="F18" s="19">
        <v>45855</v>
      </c>
      <c r="G18" s="19">
        <v>45860</v>
      </c>
      <c r="H18" s="20">
        <f t="shared" si="0"/>
        <v>6</v>
      </c>
      <c r="I18" s="18" t="s">
        <v>86</v>
      </c>
      <c r="J18" s="21" t="s">
        <v>18</v>
      </c>
      <c r="K18" s="21" t="s">
        <v>19</v>
      </c>
      <c r="L18" s="22" t="s">
        <v>87</v>
      </c>
    </row>
    <row r="19" spans="1:12" x14ac:dyDescent="0.55000000000000004">
      <c r="A19" s="12" t="s">
        <v>88</v>
      </c>
      <c r="B19" s="2" t="s">
        <v>89</v>
      </c>
      <c r="C19" s="2" t="s">
        <v>90</v>
      </c>
      <c r="D19" s="2" t="s">
        <v>91</v>
      </c>
      <c r="E19" s="2" t="s">
        <v>52</v>
      </c>
      <c r="F19" s="3">
        <v>45860</v>
      </c>
      <c r="G19" s="3">
        <v>45861</v>
      </c>
      <c r="H19" s="4">
        <f t="shared" si="0"/>
        <v>2</v>
      </c>
      <c r="I19" s="2" t="s">
        <v>83</v>
      </c>
      <c r="J19" s="5" t="s">
        <v>18</v>
      </c>
      <c r="K19" s="5" t="s">
        <v>19</v>
      </c>
      <c r="L19" s="15" t="s">
        <v>92</v>
      </c>
    </row>
    <row r="20" spans="1:12" x14ac:dyDescent="0.55000000000000004">
      <c r="A20" s="12" t="s">
        <v>93</v>
      </c>
      <c r="B20" s="2" t="s">
        <v>89</v>
      </c>
      <c r="C20" s="2" t="s">
        <v>94</v>
      </c>
      <c r="D20" s="2" t="s">
        <v>95</v>
      </c>
      <c r="E20" s="2" t="s">
        <v>96</v>
      </c>
      <c r="F20" s="3">
        <v>45861</v>
      </c>
      <c r="G20" s="3">
        <v>45862</v>
      </c>
      <c r="H20" s="4">
        <f t="shared" si="0"/>
        <v>2</v>
      </c>
      <c r="I20" s="2" t="s">
        <v>88</v>
      </c>
      <c r="J20" s="5" t="s">
        <v>18</v>
      </c>
      <c r="K20" s="5" t="s">
        <v>19</v>
      </c>
      <c r="L20" s="15"/>
    </row>
    <row r="21" spans="1:12" x14ac:dyDescent="0.55000000000000004">
      <c r="A21" s="12" t="s">
        <v>97</v>
      </c>
      <c r="B21" s="2" t="s">
        <v>89</v>
      </c>
      <c r="C21" s="2" t="s">
        <v>98</v>
      </c>
      <c r="D21" s="2" t="s">
        <v>99</v>
      </c>
      <c r="E21" s="2" t="s">
        <v>16</v>
      </c>
      <c r="F21" s="3">
        <v>45863</v>
      </c>
      <c r="G21" s="3">
        <v>45863</v>
      </c>
      <c r="H21" s="4">
        <f t="shared" si="0"/>
        <v>1</v>
      </c>
      <c r="I21" s="2" t="s">
        <v>93</v>
      </c>
      <c r="J21" s="5" t="s">
        <v>18</v>
      </c>
      <c r="K21" s="5" t="s">
        <v>19</v>
      </c>
      <c r="L21" s="15" t="s">
        <v>100</v>
      </c>
    </row>
    <row r="22" spans="1:12" x14ac:dyDescent="0.55000000000000004">
      <c r="A22" s="12" t="s">
        <v>101</v>
      </c>
      <c r="B22" s="2" t="s">
        <v>89</v>
      </c>
      <c r="C22" s="2" t="s">
        <v>102</v>
      </c>
      <c r="D22" s="2" t="s">
        <v>103</v>
      </c>
      <c r="E22" s="2" t="s">
        <v>16</v>
      </c>
      <c r="F22" s="3">
        <v>45862</v>
      </c>
      <c r="G22" s="3">
        <v>45866</v>
      </c>
      <c r="H22" s="4">
        <f t="shared" si="0"/>
        <v>5</v>
      </c>
      <c r="I22" s="2" t="s">
        <v>88</v>
      </c>
      <c r="J22" s="5"/>
      <c r="K22" s="5" t="s">
        <v>19</v>
      </c>
      <c r="L22" s="15" t="s">
        <v>104</v>
      </c>
    </row>
    <row r="23" spans="1:12" x14ac:dyDescent="0.55000000000000004">
      <c r="A23" s="12" t="s">
        <v>105</v>
      </c>
      <c r="B23" s="2" t="s">
        <v>89</v>
      </c>
      <c r="C23" s="2" t="s">
        <v>106</v>
      </c>
      <c r="D23" s="2" t="s">
        <v>107</v>
      </c>
      <c r="E23" s="2" t="s">
        <v>16</v>
      </c>
      <c r="F23" s="3">
        <v>45866</v>
      </c>
      <c r="G23" s="3">
        <v>45866</v>
      </c>
      <c r="H23" s="4">
        <f t="shared" si="0"/>
        <v>1</v>
      </c>
      <c r="I23" s="2" t="s">
        <v>108</v>
      </c>
      <c r="J23" s="5" t="s">
        <v>18</v>
      </c>
      <c r="K23" s="5" t="s">
        <v>19</v>
      </c>
      <c r="L23" s="15" t="s">
        <v>109</v>
      </c>
    </row>
    <row r="24" spans="1:12" x14ac:dyDescent="0.55000000000000004">
      <c r="A24" s="12" t="s">
        <v>110</v>
      </c>
      <c r="B24" s="2" t="s">
        <v>89</v>
      </c>
      <c r="C24" s="2" t="s">
        <v>111</v>
      </c>
      <c r="D24" s="2" t="s">
        <v>112</v>
      </c>
      <c r="E24" s="2" t="s">
        <v>16</v>
      </c>
      <c r="F24" s="3">
        <v>45866</v>
      </c>
      <c r="G24" s="3">
        <v>45867</v>
      </c>
      <c r="H24" s="4">
        <f t="shared" si="0"/>
        <v>2</v>
      </c>
      <c r="I24" s="2" t="s">
        <v>105</v>
      </c>
      <c r="J24" s="5"/>
      <c r="K24" s="5" t="s">
        <v>19</v>
      </c>
      <c r="L24" s="15"/>
    </row>
    <row r="25" spans="1:12" ht="18.5" thickBot="1" x14ac:dyDescent="0.6">
      <c r="A25" s="13" t="s">
        <v>113</v>
      </c>
      <c r="B25" s="7" t="s">
        <v>89</v>
      </c>
      <c r="C25" s="7" t="s">
        <v>114</v>
      </c>
      <c r="D25" s="7" t="s">
        <v>115</v>
      </c>
      <c r="E25" s="7" t="s">
        <v>116</v>
      </c>
      <c r="F25" s="8">
        <v>45870</v>
      </c>
      <c r="G25" s="8">
        <v>45870</v>
      </c>
      <c r="H25" s="9">
        <f t="shared" si="0"/>
        <v>1</v>
      </c>
      <c r="I25" s="7" t="s">
        <v>110</v>
      </c>
      <c r="J25" s="10" t="s">
        <v>18</v>
      </c>
      <c r="K25" s="10" t="s">
        <v>19</v>
      </c>
      <c r="L25" s="16" t="s">
        <v>243</v>
      </c>
    </row>
  </sheetData>
  <autoFilter ref="A1:L25" xr:uid="{00000000-0001-0000-0000-000000000000}"/>
  <phoneticPr fontId="4"/>
  <conditionalFormatting sqref="K2:K25">
    <cfRule type="containsText" dxfId="9" priority="1" operator="containsText" text="完了">
      <formula>NOT(ISERROR(SEARCH("完了",K2)))</formula>
    </cfRule>
    <cfRule type="containsText" dxfId="8" priority="2" operator="containsText" text="進行中">
      <formula>NOT(ISERROR(SEARCH("進行中",K2)))</formula>
    </cfRule>
    <cfRule type="containsText" dxfId="7" priority="3" operator="containsText" text="未着手">
      <formula>NOT(ISERROR(SEARCH("未着手",K2)))</formula>
    </cfRule>
    <cfRule type="containsText" dxfId="6" priority="4" operator="containsText" text="保留">
      <formula>NOT(ISERROR(SEARCH("保留",K2)))</formula>
    </cfRule>
  </conditionalFormatting>
  <dataValidations count="1">
    <dataValidation type="list" allowBlank="1" showInputMessage="1" showErrorMessage="1" sqref="K2:K25" xr:uid="{F4525DDB-CEFF-41DD-BD7E-1DD9B36BFD95}">
      <formula1>"未着手,進行中,完了,保留"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45C5-50D1-4084-A7E0-5F22C9FB3B62}">
  <dimension ref="A1:G23"/>
  <sheetViews>
    <sheetView workbookViewId="0">
      <selection activeCell="C13" sqref="C13"/>
    </sheetView>
  </sheetViews>
  <sheetFormatPr defaultRowHeight="18" x14ac:dyDescent="0.55000000000000004"/>
  <cols>
    <col min="1" max="1" width="9.1640625" customWidth="1"/>
    <col min="2" max="2" width="35" customWidth="1"/>
    <col min="3" max="3" width="15" customWidth="1"/>
    <col min="4" max="4" width="31.6640625" customWidth="1"/>
    <col min="5" max="5" width="53.33203125" customWidth="1"/>
    <col min="6" max="6" width="25" customWidth="1"/>
    <col min="7" max="7" width="11.6640625" customWidth="1"/>
  </cols>
  <sheetData>
    <row r="1" spans="1:7" ht="26" customHeight="1" thickBot="1" x14ac:dyDescent="0.6">
      <c r="A1" s="23" t="s">
        <v>117</v>
      </c>
      <c r="B1" s="23"/>
      <c r="C1" s="23"/>
      <c r="D1" s="23"/>
      <c r="E1" s="23"/>
      <c r="F1" s="23"/>
      <c r="G1" s="23"/>
    </row>
    <row r="2" spans="1:7" ht="24" customHeight="1" x14ac:dyDescent="0.55000000000000004">
      <c r="A2" s="25" t="s">
        <v>118</v>
      </c>
      <c r="B2" s="24" t="s">
        <v>119</v>
      </c>
      <c r="C2" s="24" t="s">
        <v>120</v>
      </c>
      <c r="D2" s="24" t="s">
        <v>121</v>
      </c>
      <c r="E2" s="24" t="s">
        <v>122</v>
      </c>
      <c r="F2" s="24" t="s">
        <v>123</v>
      </c>
      <c r="G2" s="26" t="s">
        <v>10</v>
      </c>
    </row>
    <row r="3" spans="1:7" x14ac:dyDescent="0.55000000000000004">
      <c r="A3" s="12" t="s">
        <v>124</v>
      </c>
      <c r="B3" s="2" t="s">
        <v>125</v>
      </c>
      <c r="C3" s="3">
        <v>45831</v>
      </c>
      <c r="D3" s="2" t="s">
        <v>126</v>
      </c>
      <c r="E3" s="2" t="s">
        <v>127</v>
      </c>
      <c r="F3" s="2" t="s">
        <v>16</v>
      </c>
      <c r="G3" s="27" t="s">
        <v>19</v>
      </c>
    </row>
    <row r="4" spans="1:7" x14ac:dyDescent="0.55000000000000004">
      <c r="A4" s="12" t="s">
        <v>128</v>
      </c>
      <c r="B4" s="2" t="s">
        <v>129</v>
      </c>
      <c r="C4" s="3">
        <v>45846</v>
      </c>
      <c r="D4" s="2" t="s">
        <v>130</v>
      </c>
      <c r="E4" s="2" t="s">
        <v>131</v>
      </c>
      <c r="F4" s="2" t="s">
        <v>32</v>
      </c>
      <c r="G4" s="27" t="s">
        <v>19</v>
      </c>
    </row>
    <row r="5" spans="1:7" x14ac:dyDescent="0.55000000000000004">
      <c r="A5" s="12" t="s">
        <v>132</v>
      </c>
      <c r="B5" s="2" t="s">
        <v>133</v>
      </c>
      <c r="C5" s="3">
        <v>45849</v>
      </c>
      <c r="D5" s="2" t="s">
        <v>134</v>
      </c>
      <c r="E5" s="2" t="s">
        <v>135</v>
      </c>
      <c r="F5" s="2" t="s">
        <v>16</v>
      </c>
      <c r="G5" s="27" t="s">
        <v>19</v>
      </c>
    </row>
    <row r="6" spans="1:7" x14ac:dyDescent="0.55000000000000004">
      <c r="A6" s="12" t="s">
        <v>136</v>
      </c>
      <c r="B6" s="2" t="s">
        <v>137</v>
      </c>
      <c r="C6" s="3">
        <v>45852</v>
      </c>
      <c r="D6" s="2" t="s">
        <v>138</v>
      </c>
      <c r="E6" s="2" t="s">
        <v>139</v>
      </c>
      <c r="F6" s="2" t="s">
        <v>16</v>
      </c>
      <c r="G6" s="27" t="s">
        <v>19</v>
      </c>
    </row>
    <row r="7" spans="1:7" x14ac:dyDescent="0.55000000000000004">
      <c r="A7" s="12" t="s">
        <v>140</v>
      </c>
      <c r="B7" s="2" t="s">
        <v>141</v>
      </c>
      <c r="C7" s="3">
        <v>45860</v>
      </c>
      <c r="D7" s="2" t="s">
        <v>142</v>
      </c>
      <c r="E7" s="2" t="s">
        <v>143</v>
      </c>
      <c r="F7" s="2" t="s">
        <v>48</v>
      </c>
      <c r="G7" s="27" t="s">
        <v>19</v>
      </c>
    </row>
    <row r="8" spans="1:7" x14ac:dyDescent="0.55000000000000004">
      <c r="A8" s="12" t="s">
        <v>144</v>
      </c>
      <c r="B8" s="2" t="s">
        <v>145</v>
      </c>
      <c r="C8" s="3">
        <v>45863</v>
      </c>
      <c r="D8" s="2" t="s">
        <v>146</v>
      </c>
      <c r="E8" s="2" t="s">
        <v>147</v>
      </c>
      <c r="F8" s="2" t="s">
        <v>16</v>
      </c>
      <c r="G8" s="27" t="s">
        <v>19</v>
      </c>
    </row>
    <row r="9" spans="1:7" x14ac:dyDescent="0.55000000000000004">
      <c r="A9" s="12" t="s">
        <v>148</v>
      </c>
      <c r="B9" s="2" t="s">
        <v>149</v>
      </c>
      <c r="C9" s="3">
        <v>45866</v>
      </c>
      <c r="D9" s="2" t="s">
        <v>150</v>
      </c>
      <c r="E9" s="2" t="s">
        <v>151</v>
      </c>
      <c r="F9" s="2" t="s">
        <v>16</v>
      </c>
      <c r="G9" s="27" t="s">
        <v>19</v>
      </c>
    </row>
    <row r="10" spans="1:7" ht="18.5" thickBot="1" x14ac:dyDescent="0.6">
      <c r="A10" s="13" t="s">
        <v>152</v>
      </c>
      <c r="B10" s="7" t="s">
        <v>153</v>
      </c>
      <c r="C10" s="8">
        <v>45870</v>
      </c>
      <c r="D10" s="7" t="s">
        <v>154</v>
      </c>
      <c r="E10" s="7" t="s">
        <v>241</v>
      </c>
      <c r="F10" s="7" t="s">
        <v>155</v>
      </c>
      <c r="G10" s="28" t="s">
        <v>19</v>
      </c>
    </row>
    <row r="11" spans="1:7" x14ac:dyDescent="0.55000000000000004">
      <c r="A11" s="1"/>
      <c r="B11" s="1"/>
      <c r="C11" s="1"/>
      <c r="D11" s="1"/>
      <c r="E11" s="1"/>
      <c r="F11" s="1"/>
      <c r="G11" s="1"/>
    </row>
    <row r="12" spans="1:7" ht="26" customHeight="1" thickBot="1" x14ac:dyDescent="0.6">
      <c r="A12" s="23" t="s">
        <v>156</v>
      </c>
      <c r="B12" s="23"/>
      <c r="C12" s="23"/>
      <c r="D12" s="23"/>
      <c r="E12" s="23"/>
      <c r="F12" s="23"/>
      <c r="G12" s="23"/>
    </row>
    <row r="13" spans="1:7" ht="24" customHeight="1" x14ac:dyDescent="0.55000000000000004">
      <c r="A13" s="25" t="s">
        <v>118</v>
      </c>
      <c r="B13" s="24" t="s">
        <v>120</v>
      </c>
      <c r="C13" s="24" t="s">
        <v>157</v>
      </c>
      <c r="D13" s="24" t="s">
        <v>158</v>
      </c>
      <c r="E13" s="26" t="s">
        <v>10</v>
      </c>
      <c r="F13" s="1"/>
      <c r="G13" s="1"/>
    </row>
    <row r="14" spans="1:7" x14ac:dyDescent="0.55000000000000004">
      <c r="A14" s="12" t="s">
        <v>159</v>
      </c>
      <c r="B14" s="3">
        <v>45831</v>
      </c>
      <c r="C14" s="2" t="s">
        <v>160</v>
      </c>
      <c r="D14" s="2" t="s">
        <v>155</v>
      </c>
      <c r="E14" s="27" t="s">
        <v>19</v>
      </c>
      <c r="F14" s="1"/>
      <c r="G14" s="1"/>
    </row>
    <row r="15" spans="1:7" x14ac:dyDescent="0.55000000000000004">
      <c r="A15" s="12" t="s">
        <v>161</v>
      </c>
      <c r="B15" s="3">
        <v>45834</v>
      </c>
      <c r="C15" s="2" t="s">
        <v>162</v>
      </c>
      <c r="D15" s="2" t="s">
        <v>163</v>
      </c>
      <c r="E15" s="27" t="s">
        <v>19</v>
      </c>
      <c r="F15" s="1"/>
      <c r="G15" s="1"/>
    </row>
    <row r="16" spans="1:7" x14ac:dyDescent="0.55000000000000004">
      <c r="A16" s="12" t="s">
        <v>164</v>
      </c>
      <c r="B16" s="3">
        <v>45846</v>
      </c>
      <c r="C16" s="2" t="s">
        <v>165</v>
      </c>
      <c r="D16" s="2" t="s">
        <v>52</v>
      </c>
      <c r="E16" s="27" t="s">
        <v>19</v>
      </c>
      <c r="F16" s="1"/>
      <c r="G16" s="1"/>
    </row>
    <row r="17" spans="1:7" x14ac:dyDescent="0.55000000000000004">
      <c r="A17" s="12" t="s">
        <v>166</v>
      </c>
      <c r="B17" s="3">
        <v>45849</v>
      </c>
      <c r="C17" s="2" t="s">
        <v>167</v>
      </c>
      <c r="D17" s="2" t="s">
        <v>168</v>
      </c>
      <c r="E17" s="27" t="s">
        <v>19</v>
      </c>
      <c r="F17" s="1"/>
      <c r="G17" s="1"/>
    </row>
    <row r="18" spans="1:7" x14ac:dyDescent="0.55000000000000004">
      <c r="A18" s="12" t="s">
        <v>169</v>
      </c>
      <c r="B18" s="3">
        <v>45852</v>
      </c>
      <c r="C18" s="2" t="s">
        <v>170</v>
      </c>
      <c r="D18" s="2" t="s">
        <v>116</v>
      </c>
      <c r="E18" s="27" t="s">
        <v>19</v>
      </c>
      <c r="F18" s="1"/>
      <c r="G18" s="1"/>
    </row>
    <row r="19" spans="1:7" x14ac:dyDescent="0.55000000000000004">
      <c r="A19" s="12" t="s">
        <v>171</v>
      </c>
      <c r="B19" s="3">
        <v>45856</v>
      </c>
      <c r="C19" s="2" t="s">
        <v>172</v>
      </c>
      <c r="D19" s="2" t="s">
        <v>173</v>
      </c>
      <c r="E19" s="27" t="s">
        <v>19</v>
      </c>
      <c r="F19" s="1"/>
      <c r="G19" s="1"/>
    </row>
    <row r="20" spans="1:7" x14ac:dyDescent="0.55000000000000004">
      <c r="A20" s="12" t="s">
        <v>174</v>
      </c>
      <c r="B20" s="3">
        <v>45861</v>
      </c>
      <c r="C20" s="2" t="s">
        <v>175</v>
      </c>
      <c r="D20" s="2" t="s">
        <v>52</v>
      </c>
      <c r="E20" s="27" t="s">
        <v>19</v>
      </c>
      <c r="F20" s="1"/>
      <c r="G20" s="1"/>
    </row>
    <row r="21" spans="1:7" x14ac:dyDescent="0.55000000000000004">
      <c r="A21" s="12" t="s">
        <v>176</v>
      </c>
      <c r="B21" s="3">
        <v>45863</v>
      </c>
      <c r="C21" s="2" t="s">
        <v>177</v>
      </c>
      <c r="D21" s="2" t="s">
        <v>178</v>
      </c>
      <c r="E21" s="27" t="s">
        <v>19</v>
      </c>
      <c r="F21" s="1"/>
      <c r="G21" s="1"/>
    </row>
    <row r="22" spans="1:7" x14ac:dyDescent="0.55000000000000004">
      <c r="A22" s="12" t="s">
        <v>179</v>
      </c>
      <c r="B22" s="3">
        <v>45866</v>
      </c>
      <c r="C22" s="2" t="s">
        <v>180</v>
      </c>
      <c r="D22" s="2" t="s">
        <v>16</v>
      </c>
      <c r="E22" s="27" t="s">
        <v>19</v>
      </c>
      <c r="F22" s="1"/>
      <c r="G22" s="1"/>
    </row>
    <row r="23" spans="1:7" ht="18.5" thickBot="1" x14ac:dyDescent="0.6">
      <c r="A23" s="13" t="s">
        <v>181</v>
      </c>
      <c r="B23" s="8">
        <v>45870</v>
      </c>
      <c r="C23" s="7" t="s">
        <v>182</v>
      </c>
      <c r="D23" s="7" t="s">
        <v>155</v>
      </c>
      <c r="E23" s="28" t="s">
        <v>19</v>
      </c>
      <c r="F23" s="1"/>
      <c r="G23" s="1"/>
    </row>
  </sheetData>
  <phoneticPr fontId="4"/>
  <conditionalFormatting sqref="E14:E23">
    <cfRule type="containsText" dxfId="5" priority="4" operator="containsText" text="完了">
      <formula>NOT(ISERROR(SEARCH("完了",E14)))</formula>
    </cfRule>
    <cfRule type="containsText" dxfId="4" priority="5" operator="containsText" text="進行中">
      <formula>NOT(ISERROR(SEARCH("進行中",E14)))</formula>
    </cfRule>
    <cfRule type="containsText" dxfId="3" priority="6" operator="containsText" text="未着手">
      <formula>NOT(ISERROR(SEARCH("未着手",E14)))</formula>
    </cfRule>
  </conditionalFormatting>
  <conditionalFormatting sqref="G3:G10">
    <cfRule type="containsText" dxfId="2" priority="1" operator="containsText" text="完了">
      <formula>NOT(ISERROR(SEARCH("完了",G3)))</formula>
    </cfRule>
    <cfRule type="containsText" dxfId="1" priority="2" operator="containsText" text="進行中">
      <formula>NOT(ISERROR(SEARCH("進行中",G3)))</formula>
    </cfRule>
    <cfRule type="containsText" dxfId="0" priority="3" operator="containsText" text="未着手">
      <formula>NOT(ISERROR(SEARCH("未着手",G3)))</formula>
    </cfRule>
  </conditionalFormatting>
  <dataValidations count="1">
    <dataValidation type="list" allowBlank="1" showInputMessage="1" showErrorMessage="1" sqref="G3:G10 E14:E23" xr:uid="{D5788B30-DE01-4ED1-A90F-223A341CD454}">
      <formula1>"未着手,進行中,完了,保留"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E567-23EB-4FF7-8D3A-7AF9444DE2CD}">
  <dimension ref="A1:G20"/>
  <sheetViews>
    <sheetView workbookViewId="0">
      <selection activeCell="D21" sqref="D21"/>
    </sheetView>
  </sheetViews>
  <sheetFormatPr defaultRowHeight="18" x14ac:dyDescent="0.55000000000000004"/>
  <cols>
    <col min="1" max="2" width="32.5" customWidth="1"/>
    <col min="3" max="3" width="15" customWidth="1"/>
    <col min="4" max="4" width="51.6640625" customWidth="1"/>
    <col min="5" max="5" width="38.33203125" customWidth="1"/>
    <col min="6" max="7" width="15" customWidth="1"/>
  </cols>
  <sheetData>
    <row r="1" spans="1:7" ht="26" customHeight="1" thickBot="1" x14ac:dyDescent="0.6">
      <c r="A1" s="23" t="s">
        <v>183</v>
      </c>
      <c r="B1" s="23"/>
      <c r="C1" s="23"/>
      <c r="D1" s="23"/>
      <c r="E1" s="1"/>
      <c r="F1" s="1"/>
      <c r="G1" s="1"/>
    </row>
    <row r="2" spans="1:7" ht="24" customHeight="1" x14ac:dyDescent="0.55000000000000004">
      <c r="A2" s="25" t="s">
        <v>184</v>
      </c>
      <c r="B2" s="24" t="s">
        <v>185</v>
      </c>
      <c r="C2" s="24" t="s">
        <v>186</v>
      </c>
      <c r="D2" s="26" t="s">
        <v>187</v>
      </c>
      <c r="E2" s="1"/>
      <c r="F2" s="1"/>
      <c r="G2" s="1"/>
    </row>
    <row r="3" spans="1:7" x14ac:dyDescent="0.55000000000000004">
      <c r="A3" s="29" t="s">
        <v>188</v>
      </c>
      <c r="B3" s="2" t="s">
        <v>16</v>
      </c>
      <c r="C3" s="5" t="s">
        <v>189</v>
      </c>
      <c r="D3" s="15" t="s">
        <v>190</v>
      </c>
      <c r="E3" s="1"/>
      <c r="F3" s="1"/>
      <c r="G3" s="1"/>
    </row>
    <row r="4" spans="1:7" x14ac:dyDescent="0.55000000000000004">
      <c r="A4" s="29" t="s">
        <v>191</v>
      </c>
      <c r="B4" s="2" t="s">
        <v>32</v>
      </c>
      <c r="C4" s="5" t="s">
        <v>192</v>
      </c>
      <c r="D4" s="15" t="s">
        <v>193</v>
      </c>
      <c r="E4" s="1"/>
      <c r="F4" s="1"/>
      <c r="G4" s="1"/>
    </row>
    <row r="5" spans="1:7" x14ac:dyDescent="0.55000000000000004">
      <c r="A5" s="29" t="s">
        <v>194</v>
      </c>
      <c r="B5" s="2" t="s">
        <v>28</v>
      </c>
      <c r="C5" s="5" t="s">
        <v>195</v>
      </c>
      <c r="D5" s="15" t="s">
        <v>196</v>
      </c>
      <c r="E5" s="1"/>
      <c r="F5" s="1"/>
      <c r="G5" s="1"/>
    </row>
    <row r="6" spans="1:7" x14ac:dyDescent="0.55000000000000004">
      <c r="A6" s="29" t="s">
        <v>197</v>
      </c>
      <c r="B6" s="2" t="s">
        <v>48</v>
      </c>
      <c r="C6" s="5" t="s">
        <v>189</v>
      </c>
      <c r="D6" s="15" t="s">
        <v>198</v>
      </c>
      <c r="E6" s="1"/>
      <c r="F6" s="1"/>
      <c r="G6" s="1"/>
    </row>
    <row r="7" spans="1:7" x14ac:dyDescent="0.55000000000000004">
      <c r="A7" s="29" t="s">
        <v>199</v>
      </c>
      <c r="B7" s="2" t="s">
        <v>52</v>
      </c>
      <c r="C7" s="5" t="s">
        <v>200</v>
      </c>
      <c r="D7" s="15" t="s">
        <v>201</v>
      </c>
      <c r="E7" s="1"/>
      <c r="F7" s="1"/>
      <c r="G7" s="1"/>
    </row>
    <row r="8" spans="1:7" ht="18.5" thickBot="1" x14ac:dyDescent="0.6">
      <c r="A8" s="30" t="s">
        <v>202</v>
      </c>
      <c r="B8" s="7" t="s">
        <v>203</v>
      </c>
      <c r="C8" s="10" t="s">
        <v>204</v>
      </c>
      <c r="D8" s="16" t="s">
        <v>205</v>
      </c>
      <c r="E8" s="1"/>
      <c r="F8" s="1"/>
      <c r="G8" s="1"/>
    </row>
    <row r="9" spans="1:7" x14ac:dyDescent="0.55000000000000004">
      <c r="A9" s="1"/>
      <c r="B9" s="1"/>
      <c r="C9" s="1"/>
      <c r="D9" s="1"/>
      <c r="E9" s="1"/>
      <c r="F9" s="1"/>
      <c r="G9" s="1"/>
    </row>
    <row r="10" spans="1:7" ht="26" customHeight="1" thickBot="1" x14ac:dyDescent="0.6">
      <c r="A10" s="23" t="s">
        <v>206</v>
      </c>
      <c r="B10" s="23"/>
      <c r="C10" s="23"/>
      <c r="D10" s="23"/>
      <c r="E10" s="1"/>
      <c r="F10" s="1"/>
      <c r="G10" s="1"/>
    </row>
    <row r="11" spans="1:7" ht="24" customHeight="1" x14ac:dyDescent="0.55000000000000004">
      <c r="A11" s="25" t="s">
        <v>207</v>
      </c>
      <c r="B11" s="24" t="s">
        <v>208</v>
      </c>
      <c r="C11" s="24" t="s">
        <v>209</v>
      </c>
      <c r="D11" s="26" t="s">
        <v>210</v>
      </c>
      <c r="E11" s="1"/>
      <c r="F11" s="1"/>
      <c r="G11" s="1"/>
    </row>
    <row r="12" spans="1:7" x14ac:dyDescent="0.55000000000000004">
      <c r="A12" s="12" t="s">
        <v>211</v>
      </c>
      <c r="B12" s="2" t="s">
        <v>212</v>
      </c>
      <c r="C12" s="2" t="s">
        <v>213</v>
      </c>
      <c r="D12" s="15" t="s">
        <v>214</v>
      </c>
      <c r="E12" s="1"/>
      <c r="F12" s="1"/>
      <c r="G12" s="1"/>
    </row>
    <row r="13" spans="1:7" x14ac:dyDescent="0.55000000000000004">
      <c r="A13" s="12" t="s">
        <v>215</v>
      </c>
      <c r="B13" s="2" t="s">
        <v>216</v>
      </c>
      <c r="C13" s="2" t="s">
        <v>217</v>
      </c>
      <c r="D13" s="15" t="s">
        <v>218</v>
      </c>
      <c r="E13" s="1"/>
      <c r="F13" s="1"/>
      <c r="G13" s="1"/>
    </row>
    <row r="14" spans="1:7" x14ac:dyDescent="0.55000000000000004">
      <c r="A14" s="12" t="s">
        <v>219</v>
      </c>
      <c r="B14" s="2" t="s">
        <v>220</v>
      </c>
      <c r="C14" s="2" t="s">
        <v>221</v>
      </c>
      <c r="D14" s="15" t="s">
        <v>222</v>
      </c>
      <c r="E14" s="1"/>
      <c r="F14" s="1"/>
      <c r="G14" s="1"/>
    </row>
    <row r="15" spans="1:7" x14ac:dyDescent="0.55000000000000004">
      <c r="A15" s="12" t="s">
        <v>223</v>
      </c>
      <c r="B15" s="2" t="s">
        <v>224</v>
      </c>
      <c r="C15" s="2" t="s">
        <v>225</v>
      </c>
      <c r="D15" s="15" t="s">
        <v>226</v>
      </c>
      <c r="E15" s="1"/>
      <c r="F15" s="1"/>
      <c r="G15" s="1"/>
    </row>
    <row r="16" spans="1:7" ht="18.5" thickBot="1" x14ac:dyDescent="0.6">
      <c r="A16" s="13" t="s">
        <v>227</v>
      </c>
      <c r="B16" s="7" t="s">
        <v>228</v>
      </c>
      <c r="C16" s="7" t="s">
        <v>229</v>
      </c>
      <c r="D16" s="16" t="s">
        <v>230</v>
      </c>
      <c r="E16" s="1"/>
      <c r="F16" s="1"/>
      <c r="G16" s="1"/>
    </row>
    <row r="17" spans="1:7" x14ac:dyDescent="0.55000000000000004">
      <c r="A17" s="1"/>
      <c r="B17" s="1"/>
      <c r="C17" s="1"/>
      <c r="D17" s="1"/>
      <c r="E17" s="1"/>
      <c r="F17" s="1"/>
      <c r="G17" s="1"/>
    </row>
    <row r="18" spans="1:7" ht="26" customHeight="1" thickBot="1" x14ac:dyDescent="0.6">
      <c r="A18" s="23" t="s">
        <v>231</v>
      </c>
      <c r="B18" s="23"/>
      <c r="C18" s="23"/>
      <c r="D18" s="23"/>
      <c r="E18" s="23"/>
      <c r="F18" s="23"/>
      <c r="G18" s="23"/>
    </row>
    <row r="19" spans="1:7" ht="24" customHeight="1" x14ac:dyDescent="0.55000000000000004">
      <c r="A19" s="25" t="s">
        <v>232</v>
      </c>
      <c r="B19" s="24" t="s">
        <v>233</v>
      </c>
      <c r="C19" s="24" t="s">
        <v>234</v>
      </c>
      <c r="D19" s="24" t="s">
        <v>235</v>
      </c>
      <c r="E19" s="24" t="s">
        <v>236</v>
      </c>
      <c r="F19" s="24" t="s">
        <v>237</v>
      </c>
      <c r="G19" s="26" t="s">
        <v>238</v>
      </c>
    </row>
    <row r="20" spans="1:7" ht="18.5" thickBot="1" x14ac:dyDescent="0.6">
      <c r="A20" s="30">
        <v>1</v>
      </c>
      <c r="B20" s="7" t="s">
        <v>239</v>
      </c>
      <c r="C20" s="31">
        <v>1</v>
      </c>
      <c r="D20" s="7" t="s">
        <v>242</v>
      </c>
      <c r="E20" s="7" t="s">
        <v>240</v>
      </c>
      <c r="F20" s="32">
        <v>45863</v>
      </c>
      <c r="G20" s="33">
        <v>45870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WBS</vt:lpstr>
      <vt:lpstr>マイルストーン・CP</vt:lpstr>
      <vt:lpstr>リソース配分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h.ikeshita</dc:creator>
  <cp:lastModifiedBy>h.ikeshita</cp:lastModifiedBy>
  <dcterms:created xsi:type="dcterms:W3CDTF">2015-06-05T18:17:20Z</dcterms:created>
  <dcterms:modified xsi:type="dcterms:W3CDTF">2026-05-21T14:48:32Z</dcterms:modified>
</cp:coreProperties>
</file>